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vladimir\finanzas\2024\"/>
    </mc:Choice>
  </mc:AlternateContent>
  <xr:revisionPtr revIDLastSave="0" documentId="13_ncr:1_{A53E077F-9D8D-45C5-ABF4-39D7F8DB17AE}" xr6:coauthVersionLast="45" xr6:coauthVersionMax="45" xr10:uidLastSave="{00000000-0000-0000-0000-000000000000}"/>
  <bookViews>
    <workbookView xWindow="-120" yWindow="-120" windowWidth="20730" windowHeight="11160" xr2:uid="{608986CD-61FD-4E7C-8913-D84076EFBEDF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7" i="1" l="1"/>
  <c r="G266" i="1"/>
  <c r="G263" i="1"/>
  <c r="G229" i="1"/>
  <c r="G227" i="1"/>
  <c r="G203" i="1"/>
  <c r="G205" i="1"/>
  <c r="G182" i="1"/>
  <c r="G180" i="1"/>
  <c r="G158" i="1"/>
  <c r="G156" i="1"/>
  <c r="G133" i="1"/>
  <c r="G131" i="1"/>
  <c r="G108" i="1"/>
  <c r="G106" i="1"/>
  <c r="G83" i="1"/>
  <c r="G56" i="1"/>
  <c r="G28" i="1"/>
  <c r="A268" i="1" l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53" i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31" i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08" i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07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36" i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35" i="1"/>
  <c r="A110" i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85" i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58" i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56" i="1"/>
  <c r="A54" i="1"/>
  <c r="A53" i="1" s="1"/>
  <c r="A52" i="1" s="1"/>
  <c r="A51" i="1" s="1"/>
  <c r="A50" i="1" s="1"/>
  <c r="A49" i="1" s="1"/>
  <c r="A48" i="1" s="1"/>
  <c r="A47" i="1" s="1"/>
  <c r="A46" i="1" s="1"/>
  <c r="A45" i="1" s="1"/>
  <c r="A44" i="1" s="1"/>
  <c r="A43" i="1" s="1"/>
  <c r="A42" i="1" s="1"/>
  <c r="A41" i="1" s="1"/>
  <c r="A40" i="1" s="1"/>
  <c r="A39" i="1" s="1"/>
  <c r="A38" i="1" s="1"/>
  <c r="A37" i="1" s="1"/>
  <c r="A36" i="1" s="1"/>
  <c r="A35" i="1" s="1"/>
  <c r="A34" i="1" s="1"/>
  <c r="A33" i="1" s="1"/>
  <c r="A32" i="1" s="1"/>
  <c r="A31" i="1" s="1"/>
  <c r="A30" i="1" s="1"/>
  <c r="A2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</calcChain>
</file>

<file path=xl/sharedStrings.xml><?xml version="1.0" encoding="utf-8"?>
<sst xmlns="http://schemas.openxmlformats.org/spreadsheetml/2006/main" count="724" uniqueCount="149">
  <si>
    <t>Ticker</t>
  </si>
  <si>
    <t>Nombre</t>
  </si>
  <si>
    <t>EXT</t>
  </si>
  <si>
    <t>fecha</t>
  </si>
  <si>
    <t>Tenencia</t>
  </si>
  <si>
    <t>BANCO PATAGONIA ACCIONES CL. B  $ ESC. (BPAT)</t>
  </si>
  <si>
    <t>53,35</t>
  </si>
  <si>
    <t>ARS</t>
  </si>
  <si>
    <t>30460,57</t>
  </si>
  <si>
    <t>CEDEAR BERKSHIRE HATHAWAY INC. (BRKB)</t>
  </si>
  <si>
    <t>22489,5</t>
  </si>
  <si>
    <t>427300,5</t>
  </si>
  <si>
    <t>AGROMETAL S.A.I. ESCR. 1 VOTO (AGRO)</t>
  </si>
  <si>
    <t>61,3</t>
  </si>
  <si>
    <t>807382,3</t>
  </si>
  <si>
    <t>CEDEAR ENERGY SELECT SECTOR SPDR FUND (XLE)</t>
  </si>
  <si>
    <t>MOLINOS RIO DE LA PLATA ESCRIT.  B 1 VOTOS (MOLI)</t>
  </si>
  <si>
    <t>BANCO MACRO S.A. B  1 V. ESCRIT (BMA)</t>
  </si>
  <si>
    <t>CRESUD S.A.  ORD. 1 VOTO ESCRITURAL (CRES)</t>
  </si>
  <si>
    <t>BANCO HIPOTECARIO ESCRIT.  D  (CATEGORIAS 1 Y 2) 3 VOTOS (BHIP)</t>
  </si>
  <si>
    <t>CEDEAR INVESCO QQQ TRUST (QQQ)</t>
  </si>
  <si>
    <t>26464,5</t>
  </si>
  <si>
    <t>ON YPF CL. 25 V13/02/26 U$S CG EF (YMCQO)</t>
  </si>
  <si>
    <t>1102718,4</t>
  </si>
  <si>
    <t>GRUPO FINANCIERO GALICIA S.A ESCRIT.  B  1 V (GGAL)</t>
  </si>
  <si>
    <t>2675,1</t>
  </si>
  <si>
    <t>1147617,9</t>
  </si>
  <si>
    <t>BANCO BBVA ARG ESC S 1 V. (BBAR)</t>
  </si>
  <si>
    <t>2581,6</t>
  </si>
  <si>
    <t>CEDEAR ALPHABET INC. CL  A  (GOOGL)</t>
  </si>
  <si>
    <t>TERNIUM ARG S.A.ORDS. A 1 VOTO ESC (TXAR)</t>
  </si>
  <si>
    <t>1035,5</t>
  </si>
  <si>
    <t>BONO REP ARGENTINA USD 1% 2029 (AL29)</t>
  </si>
  <si>
    <t>2206884,75</t>
  </si>
  <si>
    <t>CEDEAR META PLATFORMS INC. (META)</t>
  </si>
  <si>
    <t>CEDEAR APPLE INC. (AAPL)</t>
  </si>
  <si>
    <t>ALUAR S.A ORD 1 V ESCRITURALES (ALUA)</t>
  </si>
  <si>
    <t>1053,5</t>
  </si>
  <si>
    <t>2552630,5</t>
  </si>
  <si>
    <t>YPF S.A. ESCRIT.  D  1 VOTO (YPFD)</t>
  </si>
  <si>
    <t>21794,3</t>
  </si>
  <si>
    <t>3247350,7</t>
  </si>
  <si>
    <t>CEDEAR SPDR S&amp;P 500 (SPY)</t>
  </si>
  <si>
    <t>CEDEAR MERCADOLIBRE INC. (MELI)</t>
  </si>
  <si>
    <t>CEDEAR VISTA ENERGY S.A.B. DE CV (VIST) (VIST)</t>
  </si>
  <si>
    <t>FCI COCOS AHORRO CL.A $ ESC (COCOA)</t>
  </si>
  <si>
    <t>8759063,11</t>
  </si>
  <si>
    <t>1038,71</t>
  </si>
  <si>
    <t>9098108,92</t>
  </si>
  <si>
    <t>BONO REP. ARGENTINA USD STEP UP 2030 (AL30)</t>
  </si>
  <si>
    <t>10809013,95</t>
  </si>
  <si>
    <t>1483666,96</t>
  </si>
  <si>
    <t>USD</t>
  </si>
  <si>
    <t>precio</t>
  </si>
  <si>
    <t>moneda</t>
  </si>
  <si>
    <t>total</t>
  </si>
  <si>
    <t>0,01</t>
  </si>
  <si>
    <t>1113,05</t>
  </si>
  <si>
    <t>MOLINOS J.SEMINO ESCRIT.1 V. (SEMI)</t>
  </si>
  <si>
    <t>107,49</t>
  </si>
  <si>
    <t>504357,16</t>
  </si>
  <si>
    <t>45,6</t>
  </si>
  <si>
    <t>600597,6</t>
  </si>
  <si>
    <t>807,35</t>
  </si>
  <si>
    <t>680596,05</t>
  </si>
  <si>
    <t>26966,5</t>
  </si>
  <si>
    <t>943827,5</t>
  </si>
  <si>
    <t>2499,5</t>
  </si>
  <si>
    <t>1422215,5</t>
  </si>
  <si>
    <t>MOLINOS AGRO S.A. CL. B 1 V $ ESC. (MOLA)</t>
  </si>
  <si>
    <t>1213,5</t>
  </si>
  <si>
    <t>PAMPA ENERGIA S.A. ESCRIT.  1 VOTO (PAMP)</t>
  </si>
  <si>
    <t>1837,95</t>
  </si>
  <si>
    <t>2742221,4</t>
  </si>
  <si>
    <t>18613,85</t>
  </si>
  <si>
    <t>3015443,7</t>
  </si>
  <si>
    <t>TRANS. GAS DEL NORTE  C  ORD $ ESC (TGNO4)</t>
  </si>
  <si>
    <t>1699,5</t>
  </si>
  <si>
    <t>774,5</t>
  </si>
  <si>
    <t>3490671,5</t>
  </si>
  <si>
    <t>12867723,05</t>
  </si>
  <si>
    <t>1798,43</t>
  </si>
  <si>
    <t>DÃ³lar estadounidense ()</t>
  </si>
  <si>
    <t>1,14</t>
  </si>
  <si>
    <t>1179,52</t>
  </si>
  <si>
    <t>BONOS REP. ARG. U$S STEP UP V.09/07/30 (GD30)</t>
  </si>
  <si>
    <t>2817,5</t>
  </si>
  <si>
    <t>802987,5</t>
  </si>
  <si>
    <t>197,5</t>
  </si>
  <si>
    <t>2356767,5</t>
  </si>
  <si>
    <t>1873,2</t>
  </si>
  <si>
    <t>5250579,6</t>
  </si>
  <si>
    <t>2007,5</t>
  </si>
  <si>
    <t>5313852,5</t>
  </si>
  <si>
    <t>15001,5</t>
  </si>
  <si>
    <t>911,5</t>
  </si>
  <si>
    <t>7099673,5</t>
  </si>
  <si>
    <t>7515787,5</t>
  </si>
  <si>
    <t>2695888,11</t>
  </si>
  <si>
    <t>1252,09</t>
  </si>
  <si>
    <t>CEDEAR TESLA, INC. (TSLA)</t>
  </si>
  <si>
    <t>3594,95</t>
  </si>
  <si>
    <t>3911305,6</t>
  </si>
  <si>
    <t>CEDEAR NU HOLDINGS LTD/CAYMAN ISLANDS (NU)</t>
  </si>
  <si>
    <t>1299,5</t>
  </si>
  <si>
    <t>5126527,5</t>
  </si>
  <si>
    <t>859,5</t>
  </si>
  <si>
    <t>6694645,5</t>
  </si>
  <si>
    <t>1999,75</t>
  </si>
  <si>
    <t>7573053,25</t>
  </si>
  <si>
    <t>13479,5</t>
  </si>
  <si>
    <t>9745678,5</t>
  </si>
  <si>
    <t>FCI COCOS AHORRO CL.A U$S ESC. (COCOAUSD)</t>
  </si>
  <si>
    <t>2994449,7</t>
  </si>
  <si>
    <t>1364,06</t>
  </si>
  <si>
    <t>370,5</t>
  </si>
  <si>
    <t>1243768,5</t>
  </si>
  <si>
    <t>EDENOR S.A.  B  1 VOTO (EDN)</t>
  </si>
  <si>
    <t>3417490,5</t>
  </si>
  <si>
    <t>BONOS REP. ARG. U$S STEP UP V.09/07/35 (GD35)</t>
  </si>
  <si>
    <t>19859644,2</t>
  </si>
  <si>
    <t>98799,84</t>
  </si>
  <si>
    <t>1406,41</t>
  </si>
  <si>
    <t>401,5</t>
  </si>
  <si>
    <t>1347835,5</t>
  </si>
  <si>
    <t>11131420,4</t>
  </si>
  <si>
    <t>22860388,6</t>
  </si>
  <si>
    <t>38870947,5</t>
  </si>
  <si>
    <t>-2977,8</t>
  </si>
  <si>
    <t>1,37</t>
  </si>
  <si>
    <t>1450,3</t>
  </si>
  <si>
    <t>384,5</t>
  </si>
  <si>
    <t>1290766,5</t>
  </si>
  <si>
    <t>11161221,5</t>
  </si>
  <si>
    <t>-4342,1</t>
  </si>
  <si>
    <t>1496,98</t>
  </si>
  <si>
    <t>-6698,64</t>
  </si>
  <si>
    <t>-2,6</t>
  </si>
  <si>
    <t>8896694,4</t>
  </si>
  <si>
    <t>37706867,9</t>
  </si>
  <si>
    <t>40449464,3</t>
  </si>
  <si>
    <t>-25336,05</t>
  </si>
  <si>
    <t>5,19</t>
  </si>
  <si>
    <t>CEDEAR ISHARES MSCI BRAZIL CAP (EWZ)</t>
  </si>
  <si>
    <t>37017021,1</t>
  </si>
  <si>
    <t>-6112,92</t>
  </si>
  <si>
    <t>-0,59</t>
  </si>
  <si>
    <t>HOLCIM  ESCRIT. ORD. 1 VOTO (HARG)</t>
  </si>
  <si>
    <t>HOLCIM ESCRIT. ORD. 1 VOTO (HARG)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</si>
</sst>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5FC91-8C00-478F-B416-552ADCBC3C19}">
  <dimension ref="A1:I280"/>
  <sheetViews>
    <sheetView tabSelected="1" topLeftCell="A260" workbookViewId="0">
      <selection activeCell="I277" sqref="I277"/>
    </sheetView>
  </sheetViews>
  <sheetFormatPr baseColWidth="10" defaultRowHeight="15" x14ac:dyDescent="0.25"/>
  <cols>
    <col min="1" max="1" width="10.7109375" style="1" bestFit="1" customWidth="1"/>
    <col min="2" max="2" width="11" bestFit="1" customWidth="1"/>
    <col min="3" max="3" width="50.85546875" customWidth="1"/>
    <col min="4" max="4" width="20.28515625" style="2" bestFit="1" customWidth="1"/>
    <col min="5" max="5" width="11.42578125" style="2"/>
  </cols>
  <sheetData>
    <row r="1" spans="1:7" x14ac:dyDescent="0.25">
      <c r="A1" s="1" t="s">
        <v>3</v>
      </c>
      <c r="B1" t="s">
        <v>0</v>
      </c>
      <c r="C1" t="s">
        <v>1</v>
      </c>
      <c r="D1" s="2" t="s">
        <v>4</v>
      </c>
      <c r="E1" s="2" t="s">
        <v>53</v>
      </c>
      <c r="F1" t="s">
        <v>54</v>
      </c>
      <c r="G1" t="s">
        <v>55</v>
      </c>
    </row>
    <row r="2" spans="1:7" x14ac:dyDescent="0.25">
      <c r="A2" s="1">
        <v>45322</v>
      </c>
      <c r="C2" t="s">
        <v>5</v>
      </c>
      <c r="D2" s="2">
        <v>571</v>
      </c>
      <c r="E2" s="2" t="s">
        <v>6</v>
      </c>
      <c r="F2" t="s">
        <v>7</v>
      </c>
      <c r="G2" t="s">
        <v>8</v>
      </c>
    </row>
    <row r="3" spans="1:7" x14ac:dyDescent="0.25">
      <c r="A3" s="1">
        <f>+A2</f>
        <v>45322</v>
      </c>
      <c r="C3" t="s">
        <v>9</v>
      </c>
      <c r="D3" s="2">
        <v>19</v>
      </c>
      <c r="E3" s="2" t="s">
        <v>10</v>
      </c>
      <c r="F3" t="s">
        <v>7</v>
      </c>
      <c r="G3" t="s">
        <v>11</v>
      </c>
    </row>
    <row r="4" spans="1:7" x14ac:dyDescent="0.25">
      <c r="A4" s="1">
        <f t="shared" ref="A4:A27" si="0">+A3</f>
        <v>45322</v>
      </c>
      <c r="C4" t="s">
        <v>12</v>
      </c>
      <c r="D4" s="2">
        <v>13171</v>
      </c>
      <c r="E4" s="2" t="s">
        <v>13</v>
      </c>
      <c r="F4" t="s">
        <v>7</v>
      </c>
      <c r="G4" t="s">
        <v>14</v>
      </c>
    </row>
    <row r="5" spans="1:7" x14ac:dyDescent="0.25">
      <c r="A5" s="1">
        <f t="shared" si="0"/>
        <v>45322</v>
      </c>
      <c r="C5" t="s">
        <v>147</v>
      </c>
      <c r="D5" s="2">
        <v>953</v>
      </c>
      <c r="E5" s="2">
        <v>895</v>
      </c>
      <c r="F5" t="s">
        <v>7</v>
      </c>
      <c r="G5">
        <v>852935</v>
      </c>
    </row>
    <row r="6" spans="1:7" x14ac:dyDescent="0.25">
      <c r="A6" s="1">
        <f t="shared" si="0"/>
        <v>45322</v>
      </c>
      <c r="C6" t="s">
        <v>15</v>
      </c>
      <c r="D6" s="2">
        <v>16</v>
      </c>
      <c r="E6" s="2">
        <v>53500</v>
      </c>
      <c r="F6" t="s">
        <v>7</v>
      </c>
      <c r="G6">
        <v>856000</v>
      </c>
    </row>
    <row r="7" spans="1:7" x14ac:dyDescent="0.25">
      <c r="A7" s="1">
        <f t="shared" si="0"/>
        <v>45322</v>
      </c>
      <c r="C7" t="s">
        <v>16</v>
      </c>
      <c r="D7" s="2">
        <v>233</v>
      </c>
      <c r="E7" s="2">
        <v>3860</v>
      </c>
      <c r="F7" t="s">
        <v>7</v>
      </c>
      <c r="G7">
        <v>899380</v>
      </c>
    </row>
    <row r="8" spans="1:7" x14ac:dyDescent="0.25">
      <c r="A8" s="1">
        <f t="shared" si="0"/>
        <v>45322</v>
      </c>
      <c r="C8" t="s">
        <v>17</v>
      </c>
      <c r="D8" s="2">
        <v>224</v>
      </c>
      <c r="E8" s="2">
        <v>4148</v>
      </c>
      <c r="F8" t="s">
        <v>7</v>
      </c>
      <c r="G8">
        <v>929152</v>
      </c>
    </row>
    <row r="9" spans="1:7" x14ac:dyDescent="0.25">
      <c r="A9" s="1">
        <f t="shared" si="0"/>
        <v>45322</v>
      </c>
      <c r="C9" t="s">
        <v>18</v>
      </c>
      <c r="D9" s="2">
        <v>843</v>
      </c>
      <c r="E9" s="2">
        <v>1120</v>
      </c>
      <c r="F9" t="s">
        <v>7</v>
      </c>
      <c r="G9">
        <v>944160</v>
      </c>
    </row>
    <row r="10" spans="1:7" x14ac:dyDescent="0.25">
      <c r="A10" s="1">
        <f t="shared" si="0"/>
        <v>45322</v>
      </c>
      <c r="C10" t="s">
        <v>19</v>
      </c>
      <c r="D10" s="2">
        <v>5177</v>
      </c>
      <c r="E10" s="2">
        <v>199</v>
      </c>
      <c r="F10" t="s">
        <v>7</v>
      </c>
      <c r="G10">
        <v>1030223</v>
      </c>
    </row>
    <row r="11" spans="1:7" x14ac:dyDescent="0.25">
      <c r="A11" s="1">
        <f t="shared" si="0"/>
        <v>45322</v>
      </c>
      <c r="C11" t="s">
        <v>20</v>
      </c>
      <c r="D11" s="2">
        <v>40</v>
      </c>
      <c r="E11" s="2" t="s">
        <v>21</v>
      </c>
      <c r="F11" t="s">
        <v>7</v>
      </c>
      <c r="G11">
        <v>1058580</v>
      </c>
    </row>
    <row r="12" spans="1:7" x14ac:dyDescent="0.25">
      <c r="A12" s="1">
        <f t="shared" si="0"/>
        <v>45322</v>
      </c>
      <c r="C12" t="s">
        <v>22</v>
      </c>
      <c r="D12" s="2">
        <v>1036</v>
      </c>
      <c r="E12" s="2">
        <v>106440</v>
      </c>
      <c r="F12" t="s">
        <v>7</v>
      </c>
      <c r="G12" t="s">
        <v>23</v>
      </c>
    </row>
    <row r="13" spans="1:7" x14ac:dyDescent="0.25">
      <c r="A13" s="1">
        <f t="shared" si="0"/>
        <v>45322</v>
      </c>
      <c r="C13" t="s">
        <v>24</v>
      </c>
      <c r="D13" s="2">
        <v>429</v>
      </c>
      <c r="E13" s="2" t="s">
        <v>25</v>
      </c>
      <c r="F13" t="s">
        <v>7</v>
      </c>
      <c r="G13" t="s">
        <v>26</v>
      </c>
    </row>
    <row r="14" spans="1:7" x14ac:dyDescent="0.25">
      <c r="A14" s="1">
        <f t="shared" si="0"/>
        <v>45322</v>
      </c>
      <c r="C14" t="s">
        <v>27</v>
      </c>
      <c r="D14" s="2">
        <v>530</v>
      </c>
      <c r="E14" s="2" t="s">
        <v>28</v>
      </c>
      <c r="F14" t="s">
        <v>7</v>
      </c>
      <c r="G14">
        <v>1368248</v>
      </c>
    </row>
    <row r="15" spans="1:7" x14ac:dyDescent="0.25">
      <c r="A15" s="1">
        <f t="shared" si="0"/>
        <v>45322</v>
      </c>
      <c r="C15" t="s">
        <v>29</v>
      </c>
      <c r="D15" s="2">
        <v>489</v>
      </c>
      <c r="E15" s="2">
        <v>3070</v>
      </c>
      <c r="F15" t="s">
        <v>7</v>
      </c>
      <c r="G15">
        <v>1501230</v>
      </c>
    </row>
    <row r="16" spans="1:7" x14ac:dyDescent="0.25">
      <c r="A16" s="1">
        <f t="shared" si="0"/>
        <v>45322</v>
      </c>
      <c r="C16" t="s">
        <v>30</v>
      </c>
      <c r="D16" s="2">
        <v>1668</v>
      </c>
      <c r="E16" s="2" t="s">
        <v>31</v>
      </c>
      <c r="F16" t="s">
        <v>7</v>
      </c>
      <c r="G16">
        <v>1727214</v>
      </c>
    </row>
    <row r="17" spans="1:9" x14ac:dyDescent="0.25">
      <c r="A17" s="1">
        <f t="shared" si="0"/>
        <v>45322</v>
      </c>
      <c r="C17" t="s">
        <v>32</v>
      </c>
      <c r="D17" s="2">
        <v>4695</v>
      </c>
      <c r="E17" s="2">
        <v>47005</v>
      </c>
      <c r="F17" t="s">
        <v>7</v>
      </c>
      <c r="G17" t="s">
        <v>33</v>
      </c>
    </row>
    <row r="18" spans="1:9" x14ac:dyDescent="0.25">
      <c r="A18" s="1">
        <f t="shared" si="0"/>
        <v>45322</v>
      </c>
      <c r="C18" t="s">
        <v>34</v>
      </c>
      <c r="D18" s="2">
        <v>114</v>
      </c>
      <c r="E18" s="2">
        <v>19455</v>
      </c>
      <c r="F18" t="s">
        <v>7</v>
      </c>
      <c r="G18">
        <v>2217870</v>
      </c>
    </row>
    <row r="19" spans="1:9" x14ac:dyDescent="0.25">
      <c r="A19" s="1">
        <f t="shared" si="0"/>
        <v>45322</v>
      </c>
      <c r="C19" t="s">
        <v>35</v>
      </c>
      <c r="D19" s="2">
        <v>199</v>
      </c>
      <c r="E19" s="2">
        <v>11401</v>
      </c>
      <c r="F19" t="s">
        <v>7</v>
      </c>
      <c r="G19">
        <v>2268799</v>
      </c>
    </row>
    <row r="20" spans="1:9" x14ac:dyDescent="0.25">
      <c r="A20" s="1">
        <f t="shared" si="0"/>
        <v>45322</v>
      </c>
      <c r="C20" t="s">
        <v>36</v>
      </c>
      <c r="D20" s="2">
        <v>2423</v>
      </c>
      <c r="E20" s="2" t="s">
        <v>37</v>
      </c>
      <c r="F20" t="s">
        <v>7</v>
      </c>
      <c r="G20" t="s">
        <v>38</v>
      </c>
    </row>
    <row r="21" spans="1:9" x14ac:dyDescent="0.25">
      <c r="A21" s="1">
        <f t="shared" si="0"/>
        <v>45322</v>
      </c>
      <c r="C21" t="s">
        <v>39</v>
      </c>
      <c r="D21" s="2">
        <v>149</v>
      </c>
      <c r="E21" s="2" t="s">
        <v>40</v>
      </c>
      <c r="F21" t="s">
        <v>7</v>
      </c>
      <c r="G21" t="s">
        <v>41</v>
      </c>
    </row>
    <row r="22" spans="1:9" x14ac:dyDescent="0.25">
      <c r="A22" s="1">
        <f t="shared" si="0"/>
        <v>45322</v>
      </c>
      <c r="C22" t="s">
        <v>42</v>
      </c>
      <c r="D22" s="2">
        <v>123</v>
      </c>
      <c r="E22" s="2">
        <v>29920</v>
      </c>
      <c r="F22" t="s">
        <v>7</v>
      </c>
      <c r="G22">
        <v>3680160</v>
      </c>
    </row>
    <row r="23" spans="1:9" x14ac:dyDescent="0.25">
      <c r="A23" s="1">
        <f t="shared" si="0"/>
        <v>45322</v>
      </c>
      <c r="C23" t="s">
        <v>43</v>
      </c>
      <c r="D23" s="2">
        <v>226</v>
      </c>
      <c r="E23" s="2">
        <v>18079</v>
      </c>
      <c r="F23" t="s">
        <v>7</v>
      </c>
      <c r="G23">
        <v>4085854</v>
      </c>
    </row>
    <row r="24" spans="1:9" x14ac:dyDescent="0.25">
      <c r="A24" s="1">
        <f t="shared" si="0"/>
        <v>45322</v>
      </c>
      <c r="C24" t="s">
        <v>44</v>
      </c>
      <c r="D24" s="2">
        <v>304</v>
      </c>
      <c r="E24" s="2">
        <v>14095</v>
      </c>
      <c r="F24" t="s">
        <v>7</v>
      </c>
      <c r="G24">
        <v>4284880</v>
      </c>
    </row>
    <row r="25" spans="1:9" x14ac:dyDescent="0.25">
      <c r="A25" s="1">
        <f t="shared" si="0"/>
        <v>45322</v>
      </c>
      <c r="C25" t="s">
        <v>45</v>
      </c>
      <c r="D25" s="2" t="s">
        <v>46</v>
      </c>
      <c r="E25" s="2" t="s">
        <v>47</v>
      </c>
      <c r="F25" t="s">
        <v>7</v>
      </c>
      <c r="G25" t="s">
        <v>48</v>
      </c>
    </row>
    <row r="26" spans="1:9" x14ac:dyDescent="0.25">
      <c r="A26" s="1">
        <f t="shared" si="0"/>
        <v>45322</v>
      </c>
      <c r="C26" t="s">
        <v>49</v>
      </c>
      <c r="D26" s="2">
        <v>23163</v>
      </c>
      <c r="E26" s="2">
        <v>46665</v>
      </c>
      <c r="F26" t="s">
        <v>7</v>
      </c>
      <c r="G26" t="s">
        <v>50</v>
      </c>
    </row>
    <row r="27" spans="1:9" x14ac:dyDescent="0.25">
      <c r="A27" s="1">
        <f t="shared" si="0"/>
        <v>45322</v>
      </c>
      <c r="C27" t="s">
        <v>7</v>
      </c>
      <c r="D27" s="2" t="s">
        <v>51</v>
      </c>
      <c r="E27" s="2">
        <v>1</v>
      </c>
      <c r="F27" t="s">
        <v>7</v>
      </c>
      <c r="G27" t="s">
        <v>51</v>
      </c>
    </row>
    <row r="28" spans="1:9" x14ac:dyDescent="0.25">
      <c r="A28" s="1">
        <f>+A27</f>
        <v>45322</v>
      </c>
      <c r="C28" t="s">
        <v>52</v>
      </c>
      <c r="D28" s="2">
        <v>4622</v>
      </c>
      <c r="E28" s="2">
        <v>1175</v>
      </c>
      <c r="F28" t="s">
        <v>52</v>
      </c>
      <c r="G28">
        <f>+D28*E28</f>
        <v>5430850</v>
      </c>
      <c r="I28" s="2"/>
    </row>
    <row r="29" spans="1:9" x14ac:dyDescent="0.25">
      <c r="A29" s="1">
        <f>+A30</f>
        <v>45350</v>
      </c>
      <c r="C29" t="s">
        <v>45</v>
      </c>
      <c r="D29" s="2" t="s">
        <v>56</v>
      </c>
      <c r="E29" s="2" t="s">
        <v>57</v>
      </c>
      <c r="F29" t="s">
        <v>7</v>
      </c>
      <c r="G29" t="s">
        <v>56</v>
      </c>
    </row>
    <row r="30" spans="1:9" x14ac:dyDescent="0.25">
      <c r="A30" s="1">
        <f>+A31</f>
        <v>45350</v>
      </c>
      <c r="C30" t="s">
        <v>58</v>
      </c>
      <c r="D30" s="2">
        <v>4692</v>
      </c>
      <c r="E30" s="2" t="s">
        <v>59</v>
      </c>
      <c r="F30" t="s">
        <v>7</v>
      </c>
      <c r="G30" t="s">
        <v>60</v>
      </c>
    </row>
    <row r="31" spans="1:9" x14ac:dyDescent="0.25">
      <c r="A31" s="1">
        <f t="shared" ref="A29:A53" si="1">+A32</f>
        <v>45350</v>
      </c>
      <c r="C31" t="s">
        <v>12</v>
      </c>
      <c r="D31" s="2">
        <v>13171</v>
      </c>
      <c r="E31" s="2" t="s">
        <v>61</v>
      </c>
      <c r="F31" t="s">
        <v>7</v>
      </c>
      <c r="G31" t="s">
        <v>62</v>
      </c>
    </row>
    <row r="32" spans="1:9" x14ac:dyDescent="0.25">
      <c r="A32" s="1">
        <f t="shared" si="1"/>
        <v>45350</v>
      </c>
      <c r="C32" t="s">
        <v>18</v>
      </c>
      <c r="D32" s="2">
        <v>843</v>
      </c>
      <c r="E32" s="2" t="s">
        <v>63</v>
      </c>
      <c r="F32" t="s">
        <v>7</v>
      </c>
      <c r="G32" t="s">
        <v>64</v>
      </c>
    </row>
    <row r="33" spans="1:7" x14ac:dyDescent="0.25">
      <c r="A33" s="1">
        <f t="shared" si="1"/>
        <v>45350</v>
      </c>
      <c r="C33" t="s">
        <v>42</v>
      </c>
      <c r="D33" s="2">
        <v>35</v>
      </c>
      <c r="E33" s="2" t="s">
        <v>65</v>
      </c>
      <c r="F33" t="s">
        <v>7</v>
      </c>
      <c r="G33" t="s">
        <v>66</v>
      </c>
    </row>
    <row r="34" spans="1:7" x14ac:dyDescent="0.25">
      <c r="A34" s="1">
        <f t="shared" si="1"/>
        <v>45350</v>
      </c>
      <c r="C34" t="s">
        <v>20</v>
      </c>
      <c r="D34" s="2">
        <v>40</v>
      </c>
      <c r="E34" s="2">
        <v>24559</v>
      </c>
      <c r="F34" t="s">
        <v>7</v>
      </c>
      <c r="G34">
        <v>982360</v>
      </c>
    </row>
    <row r="35" spans="1:7" x14ac:dyDescent="0.25">
      <c r="A35" s="1">
        <f t="shared" si="1"/>
        <v>45350</v>
      </c>
      <c r="C35" t="s">
        <v>35</v>
      </c>
      <c r="D35" s="2">
        <v>113</v>
      </c>
      <c r="E35" s="2">
        <v>9453</v>
      </c>
      <c r="F35" t="s">
        <v>7</v>
      </c>
      <c r="G35">
        <v>1068189</v>
      </c>
    </row>
    <row r="36" spans="1:7" x14ac:dyDescent="0.25">
      <c r="A36" s="1">
        <f t="shared" si="1"/>
        <v>45350</v>
      </c>
      <c r="C36" t="s">
        <v>29</v>
      </c>
      <c r="D36" s="2">
        <v>569</v>
      </c>
      <c r="E36" s="2" t="s">
        <v>67</v>
      </c>
      <c r="F36" t="s">
        <v>7</v>
      </c>
      <c r="G36" t="s">
        <v>68</v>
      </c>
    </row>
    <row r="37" spans="1:7" x14ac:dyDescent="0.25">
      <c r="A37" s="1">
        <f t="shared" si="1"/>
        <v>45350</v>
      </c>
      <c r="C37" t="s">
        <v>17</v>
      </c>
      <c r="D37" s="2">
        <v>366</v>
      </c>
      <c r="E37" s="2">
        <v>3901</v>
      </c>
      <c r="F37" t="s">
        <v>7</v>
      </c>
      <c r="G37">
        <v>1427766</v>
      </c>
    </row>
    <row r="38" spans="1:7" x14ac:dyDescent="0.25">
      <c r="A38" s="1">
        <f t="shared" si="1"/>
        <v>45350</v>
      </c>
      <c r="C38" t="s">
        <v>34</v>
      </c>
      <c r="D38" s="2">
        <v>86</v>
      </c>
      <c r="E38" s="2">
        <v>20150</v>
      </c>
      <c r="F38" t="s">
        <v>7</v>
      </c>
      <c r="G38">
        <v>1732900</v>
      </c>
    </row>
    <row r="39" spans="1:7" x14ac:dyDescent="0.25">
      <c r="A39" s="1">
        <f t="shared" si="1"/>
        <v>45350</v>
      </c>
      <c r="C39" t="s">
        <v>19</v>
      </c>
      <c r="D39" s="2">
        <v>9273</v>
      </c>
      <c r="E39" s="2">
        <v>200</v>
      </c>
      <c r="F39" t="s">
        <v>7</v>
      </c>
      <c r="G39">
        <v>1854600</v>
      </c>
    </row>
    <row r="40" spans="1:7" x14ac:dyDescent="0.25">
      <c r="A40" s="1">
        <f t="shared" si="1"/>
        <v>45350</v>
      </c>
      <c r="C40" t="s">
        <v>27</v>
      </c>
      <c r="D40" s="2">
        <v>1026</v>
      </c>
      <c r="E40" s="2">
        <v>2120</v>
      </c>
      <c r="F40" t="s">
        <v>7</v>
      </c>
      <c r="G40">
        <v>2175120</v>
      </c>
    </row>
    <row r="41" spans="1:7" x14ac:dyDescent="0.25">
      <c r="A41" s="1">
        <f t="shared" si="1"/>
        <v>45350</v>
      </c>
      <c r="C41" t="s">
        <v>32</v>
      </c>
      <c r="D41" s="2">
        <v>4695</v>
      </c>
      <c r="E41" s="2">
        <v>49000</v>
      </c>
      <c r="F41" t="s">
        <v>7</v>
      </c>
      <c r="G41">
        <v>2300550</v>
      </c>
    </row>
    <row r="42" spans="1:7" x14ac:dyDescent="0.25">
      <c r="A42" s="1">
        <f t="shared" si="1"/>
        <v>45350</v>
      </c>
      <c r="C42" t="s">
        <v>69</v>
      </c>
      <c r="D42" s="2">
        <v>112</v>
      </c>
      <c r="E42" s="2">
        <v>20600</v>
      </c>
      <c r="F42" t="s">
        <v>7</v>
      </c>
      <c r="G42">
        <v>2307200</v>
      </c>
    </row>
    <row r="43" spans="1:7" x14ac:dyDescent="0.25">
      <c r="A43" s="1">
        <f t="shared" si="1"/>
        <v>45350</v>
      </c>
      <c r="C43" t="s">
        <v>30</v>
      </c>
      <c r="D43" s="2">
        <v>3130</v>
      </c>
      <c r="E43" s="2">
        <v>766</v>
      </c>
      <c r="F43" t="s">
        <v>7</v>
      </c>
      <c r="G43">
        <v>2397580</v>
      </c>
    </row>
    <row r="44" spans="1:7" x14ac:dyDescent="0.25">
      <c r="A44" s="1">
        <f t="shared" si="1"/>
        <v>45350</v>
      </c>
      <c r="C44" t="s">
        <v>147</v>
      </c>
      <c r="D44" s="2">
        <v>2042</v>
      </c>
      <c r="E44" s="2" t="s">
        <v>70</v>
      </c>
      <c r="F44" t="s">
        <v>7</v>
      </c>
      <c r="G44">
        <v>2477967</v>
      </c>
    </row>
    <row r="45" spans="1:7" x14ac:dyDescent="0.25">
      <c r="A45" s="1">
        <f t="shared" si="1"/>
        <v>45350</v>
      </c>
      <c r="C45" t="s">
        <v>24</v>
      </c>
      <c r="D45" s="2">
        <v>1088</v>
      </c>
      <c r="E45" s="2">
        <v>2355</v>
      </c>
      <c r="F45" t="s">
        <v>7</v>
      </c>
      <c r="G45">
        <v>2562240</v>
      </c>
    </row>
    <row r="46" spans="1:7" x14ac:dyDescent="0.25">
      <c r="A46" s="1">
        <f t="shared" si="1"/>
        <v>45350</v>
      </c>
      <c r="C46" t="s">
        <v>16</v>
      </c>
      <c r="D46" s="2">
        <v>585</v>
      </c>
      <c r="E46" s="2">
        <v>4621</v>
      </c>
      <c r="F46" t="s">
        <v>7</v>
      </c>
      <c r="G46">
        <v>2703285</v>
      </c>
    </row>
    <row r="47" spans="1:7" x14ac:dyDescent="0.25">
      <c r="A47" s="1">
        <f t="shared" si="1"/>
        <v>45350</v>
      </c>
      <c r="C47" t="s">
        <v>71</v>
      </c>
      <c r="D47" s="2">
        <v>1492</v>
      </c>
      <c r="E47" s="2" t="s">
        <v>72</v>
      </c>
      <c r="F47" t="s">
        <v>7</v>
      </c>
      <c r="G47" t="s">
        <v>73</v>
      </c>
    </row>
    <row r="48" spans="1:7" x14ac:dyDescent="0.25">
      <c r="A48" s="1">
        <f t="shared" si="1"/>
        <v>45350</v>
      </c>
      <c r="C48" t="s">
        <v>39</v>
      </c>
      <c r="D48" s="2">
        <v>162</v>
      </c>
      <c r="E48" s="2" t="s">
        <v>74</v>
      </c>
      <c r="F48" t="s">
        <v>7</v>
      </c>
      <c r="G48" t="s">
        <v>75</v>
      </c>
    </row>
    <row r="49" spans="1:7" x14ac:dyDescent="0.25">
      <c r="A49" s="1">
        <f t="shared" si="1"/>
        <v>45350</v>
      </c>
      <c r="C49" t="s">
        <v>76</v>
      </c>
      <c r="D49" s="2">
        <v>2004</v>
      </c>
      <c r="E49" s="2" t="s">
        <v>77</v>
      </c>
      <c r="F49" t="s">
        <v>7</v>
      </c>
      <c r="G49">
        <v>3405798</v>
      </c>
    </row>
    <row r="50" spans="1:7" x14ac:dyDescent="0.25">
      <c r="A50" s="1">
        <f t="shared" si="1"/>
        <v>45350</v>
      </c>
      <c r="C50" t="s">
        <v>36</v>
      </c>
      <c r="D50" s="2">
        <v>4507</v>
      </c>
      <c r="E50" s="2" t="s">
        <v>78</v>
      </c>
      <c r="F50" t="s">
        <v>7</v>
      </c>
      <c r="G50" t="s">
        <v>79</v>
      </c>
    </row>
    <row r="51" spans="1:7" x14ac:dyDescent="0.25">
      <c r="A51" s="1">
        <f t="shared" si="1"/>
        <v>45350</v>
      </c>
      <c r="C51" t="s">
        <v>22</v>
      </c>
      <c r="D51" s="2">
        <v>5044</v>
      </c>
      <c r="E51" s="2">
        <v>95100</v>
      </c>
      <c r="F51" t="s">
        <v>7</v>
      </c>
      <c r="G51">
        <v>4796844</v>
      </c>
    </row>
    <row r="52" spans="1:7" x14ac:dyDescent="0.25">
      <c r="A52" s="1">
        <f t="shared" si="1"/>
        <v>45350</v>
      </c>
      <c r="C52" t="s">
        <v>44</v>
      </c>
      <c r="D52" s="2">
        <v>380</v>
      </c>
      <c r="E52" s="2">
        <v>12922</v>
      </c>
      <c r="F52" t="s">
        <v>7</v>
      </c>
      <c r="G52">
        <v>4910360</v>
      </c>
    </row>
    <row r="53" spans="1:7" x14ac:dyDescent="0.25">
      <c r="A53" s="1">
        <f t="shared" si="1"/>
        <v>45350</v>
      </c>
      <c r="C53" t="s">
        <v>43</v>
      </c>
      <c r="D53" s="2">
        <v>389</v>
      </c>
      <c r="E53" s="2">
        <v>14349</v>
      </c>
      <c r="F53" t="s">
        <v>7</v>
      </c>
      <c r="G53">
        <v>5581761</v>
      </c>
    </row>
    <row r="54" spans="1:7" x14ac:dyDescent="0.25">
      <c r="A54" s="1">
        <f>+A55</f>
        <v>45350</v>
      </c>
      <c r="C54" t="s">
        <v>49</v>
      </c>
      <c r="D54" s="2">
        <v>27457</v>
      </c>
      <c r="E54" s="2">
        <v>46865</v>
      </c>
      <c r="F54" t="s">
        <v>7</v>
      </c>
      <c r="G54" t="s">
        <v>80</v>
      </c>
    </row>
    <row r="55" spans="1:7" x14ac:dyDescent="0.25">
      <c r="A55" s="1">
        <v>45350</v>
      </c>
      <c r="C55" t="s">
        <v>7</v>
      </c>
      <c r="D55" s="2" t="s">
        <v>81</v>
      </c>
      <c r="E55" s="2">
        <v>1</v>
      </c>
      <c r="F55" t="s">
        <v>7</v>
      </c>
      <c r="G55" t="s">
        <v>81</v>
      </c>
    </row>
    <row r="56" spans="1:7" x14ac:dyDescent="0.25">
      <c r="A56" s="1">
        <f>+A55</f>
        <v>45350</v>
      </c>
      <c r="C56" t="s">
        <v>52</v>
      </c>
      <c r="D56" s="2">
        <v>1404</v>
      </c>
      <c r="E56" s="2">
        <v>1032</v>
      </c>
      <c r="F56" t="s">
        <v>52</v>
      </c>
      <c r="G56">
        <f>+E56*D56</f>
        <v>1448928</v>
      </c>
    </row>
    <row r="57" spans="1:7" x14ac:dyDescent="0.25">
      <c r="A57" s="1">
        <v>45382</v>
      </c>
      <c r="C57" t="s">
        <v>82</v>
      </c>
      <c r="D57" s="2" t="s">
        <v>83</v>
      </c>
      <c r="E57" s="2">
        <v>0</v>
      </c>
      <c r="F57">
        <v>0</v>
      </c>
      <c r="G57">
        <v>0</v>
      </c>
    </row>
    <row r="58" spans="1:7" x14ac:dyDescent="0.25">
      <c r="A58" s="1">
        <f>+A57</f>
        <v>45382</v>
      </c>
      <c r="C58" t="s">
        <v>45</v>
      </c>
      <c r="D58" s="2" t="s">
        <v>56</v>
      </c>
      <c r="E58" s="2" t="s">
        <v>84</v>
      </c>
      <c r="F58" t="s">
        <v>7</v>
      </c>
      <c r="G58" t="s">
        <v>56</v>
      </c>
    </row>
    <row r="59" spans="1:7" x14ac:dyDescent="0.25">
      <c r="A59" s="1">
        <f t="shared" ref="A59:A83" si="2">+A58</f>
        <v>45382</v>
      </c>
      <c r="C59" t="s">
        <v>85</v>
      </c>
      <c r="D59" s="2">
        <v>1290</v>
      </c>
      <c r="E59" s="2">
        <v>56990</v>
      </c>
      <c r="F59" t="s">
        <v>7</v>
      </c>
      <c r="G59">
        <v>735171</v>
      </c>
    </row>
    <row r="60" spans="1:7" x14ac:dyDescent="0.25">
      <c r="A60" s="1">
        <f t="shared" si="2"/>
        <v>45382</v>
      </c>
      <c r="C60" t="s">
        <v>29</v>
      </c>
      <c r="D60" s="2">
        <v>285</v>
      </c>
      <c r="E60" s="2" t="s">
        <v>86</v>
      </c>
      <c r="F60" t="s">
        <v>7</v>
      </c>
      <c r="G60" t="s">
        <v>87</v>
      </c>
    </row>
    <row r="61" spans="1:7" x14ac:dyDescent="0.25">
      <c r="A61" s="1">
        <f t="shared" si="2"/>
        <v>45382</v>
      </c>
      <c r="C61" t="s">
        <v>12</v>
      </c>
      <c r="D61" s="2">
        <v>22418</v>
      </c>
      <c r="E61" s="2">
        <v>49</v>
      </c>
      <c r="F61" t="s">
        <v>7</v>
      </c>
      <c r="G61">
        <v>1098482</v>
      </c>
    </row>
    <row r="62" spans="1:7" x14ac:dyDescent="0.25">
      <c r="A62" s="1">
        <f t="shared" si="2"/>
        <v>45382</v>
      </c>
      <c r="C62" t="s">
        <v>35</v>
      </c>
      <c r="D62" s="2">
        <v>142</v>
      </c>
      <c r="E62" s="2">
        <v>9440</v>
      </c>
      <c r="F62" t="s">
        <v>7</v>
      </c>
      <c r="G62">
        <v>1340480</v>
      </c>
    </row>
    <row r="63" spans="1:7" x14ac:dyDescent="0.25">
      <c r="A63" s="1">
        <f t="shared" si="2"/>
        <v>45382</v>
      </c>
      <c r="C63" t="s">
        <v>17</v>
      </c>
      <c r="D63" s="2">
        <v>366</v>
      </c>
      <c r="E63" s="2">
        <v>5410</v>
      </c>
      <c r="F63" t="s">
        <v>7</v>
      </c>
      <c r="G63">
        <v>1980060</v>
      </c>
    </row>
    <row r="64" spans="1:7" x14ac:dyDescent="0.25">
      <c r="A64" s="1">
        <f t="shared" si="2"/>
        <v>45382</v>
      </c>
      <c r="C64" t="s">
        <v>69</v>
      </c>
      <c r="D64" s="2">
        <v>112</v>
      </c>
      <c r="E64" s="2">
        <v>20600</v>
      </c>
      <c r="F64" t="s">
        <v>7</v>
      </c>
      <c r="G64">
        <v>2307200</v>
      </c>
    </row>
    <row r="65" spans="1:7" x14ac:dyDescent="0.25">
      <c r="A65" s="1">
        <f t="shared" si="2"/>
        <v>45382</v>
      </c>
      <c r="C65" t="s">
        <v>19</v>
      </c>
      <c r="D65" s="2">
        <v>11933</v>
      </c>
      <c r="E65" s="2" t="s">
        <v>88</v>
      </c>
      <c r="F65" t="s">
        <v>7</v>
      </c>
      <c r="G65" t="s">
        <v>89</v>
      </c>
    </row>
    <row r="66" spans="1:7" x14ac:dyDescent="0.25">
      <c r="A66" s="1">
        <f t="shared" si="2"/>
        <v>45382</v>
      </c>
      <c r="C66" t="s">
        <v>34</v>
      </c>
      <c r="D66" s="2">
        <v>103</v>
      </c>
      <c r="E66" s="2">
        <v>24398</v>
      </c>
      <c r="F66" t="s">
        <v>7</v>
      </c>
      <c r="G66">
        <v>2512994</v>
      </c>
    </row>
    <row r="67" spans="1:7" x14ac:dyDescent="0.25">
      <c r="A67" s="1">
        <f t="shared" si="2"/>
        <v>45382</v>
      </c>
      <c r="C67" t="s">
        <v>16</v>
      </c>
      <c r="D67" s="2">
        <v>836</v>
      </c>
      <c r="E67" s="2">
        <v>3110</v>
      </c>
      <c r="F67" t="s">
        <v>7</v>
      </c>
      <c r="G67">
        <v>2599960</v>
      </c>
    </row>
    <row r="68" spans="1:7" x14ac:dyDescent="0.25">
      <c r="A68" s="1">
        <f t="shared" si="2"/>
        <v>45382</v>
      </c>
      <c r="C68" t="s">
        <v>32</v>
      </c>
      <c r="D68" s="2">
        <v>4695</v>
      </c>
      <c r="E68" s="2">
        <v>56360</v>
      </c>
      <c r="F68" t="s">
        <v>7</v>
      </c>
      <c r="G68">
        <v>2646102</v>
      </c>
    </row>
    <row r="69" spans="1:7" x14ac:dyDescent="0.25">
      <c r="A69" s="1">
        <f t="shared" si="2"/>
        <v>45382</v>
      </c>
      <c r="C69" t="s">
        <v>24</v>
      </c>
      <c r="D69" s="2">
        <v>1088</v>
      </c>
      <c r="E69" s="2">
        <v>2820</v>
      </c>
      <c r="F69" t="s">
        <v>7</v>
      </c>
      <c r="G69">
        <v>3068160</v>
      </c>
    </row>
    <row r="70" spans="1:7" x14ac:dyDescent="0.25">
      <c r="A70" s="1">
        <f t="shared" si="2"/>
        <v>45382</v>
      </c>
      <c r="C70" t="s">
        <v>147</v>
      </c>
      <c r="D70" s="2">
        <v>2694</v>
      </c>
      <c r="E70" s="2">
        <v>1213</v>
      </c>
      <c r="F70" t="s">
        <v>7</v>
      </c>
      <c r="G70">
        <v>3267822</v>
      </c>
    </row>
    <row r="71" spans="1:7" x14ac:dyDescent="0.25">
      <c r="A71" s="1">
        <f t="shared" si="2"/>
        <v>45382</v>
      </c>
      <c r="C71" t="s">
        <v>39</v>
      </c>
      <c r="D71" s="2">
        <v>172</v>
      </c>
      <c r="E71" s="2">
        <v>21900</v>
      </c>
      <c r="F71" t="s">
        <v>7</v>
      </c>
      <c r="G71">
        <v>3766800</v>
      </c>
    </row>
    <row r="72" spans="1:7" x14ac:dyDescent="0.25">
      <c r="A72" s="1">
        <f t="shared" si="2"/>
        <v>45382</v>
      </c>
      <c r="C72" t="s">
        <v>42</v>
      </c>
      <c r="D72" s="2">
        <v>146</v>
      </c>
      <c r="E72" s="2">
        <v>27804</v>
      </c>
      <c r="F72" t="s">
        <v>7</v>
      </c>
      <c r="G72">
        <v>4059384</v>
      </c>
    </row>
    <row r="73" spans="1:7" x14ac:dyDescent="0.25">
      <c r="A73" s="1">
        <f t="shared" si="2"/>
        <v>45382</v>
      </c>
      <c r="C73" t="s">
        <v>30</v>
      </c>
      <c r="D73" s="2">
        <v>4892</v>
      </c>
      <c r="E73" s="2">
        <v>890</v>
      </c>
      <c r="F73" t="s">
        <v>7</v>
      </c>
      <c r="G73">
        <v>4353880</v>
      </c>
    </row>
    <row r="74" spans="1:7" x14ac:dyDescent="0.25">
      <c r="A74" s="1">
        <f t="shared" si="2"/>
        <v>45382</v>
      </c>
      <c r="C74" t="s">
        <v>27</v>
      </c>
      <c r="D74" s="2">
        <v>1517</v>
      </c>
      <c r="E74" s="2">
        <v>3099</v>
      </c>
      <c r="F74" t="s">
        <v>7</v>
      </c>
      <c r="G74">
        <v>4701183</v>
      </c>
    </row>
    <row r="75" spans="1:7" x14ac:dyDescent="0.25">
      <c r="A75" s="1">
        <f t="shared" si="2"/>
        <v>45382</v>
      </c>
      <c r="C75" t="s">
        <v>71</v>
      </c>
      <c r="D75" s="2">
        <v>2803</v>
      </c>
      <c r="E75" s="2" t="s">
        <v>90</v>
      </c>
      <c r="F75" t="s">
        <v>7</v>
      </c>
      <c r="G75" t="s">
        <v>91</v>
      </c>
    </row>
    <row r="76" spans="1:7" x14ac:dyDescent="0.25">
      <c r="A76" s="1">
        <f t="shared" si="2"/>
        <v>45382</v>
      </c>
      <c r="C76" t="s">
        <v>76</v>
      </c>
      <c r="D76" s="2">
        <v>2647</v>
      </c>
      <c r="E76" s="2" t="s">
        <v>92</v>
      </c>
      <c r="F76" t="s">
        <v>7</v>
      </c>
      <c r="G76" t="s">
        <v>93</v>
      </c>
    </row>
    <row r="77" spans="1:7" x14ac:dyDescent="0.25">
      <c r="A77" s="1">
        <f t="shared" si="2"/>
        <v>45382</v>
      </c>
      <c r="C77" t="s">
        <v>44</v>
      </c>
      <c r="D77" s="2">
        <v>414</v>
      </c>
      <c r="E77" s="2" t="s">
        <v>94</v>
      </c>
      <c r="F77" t="s">
        <v>7</v>
      </c>
      <c r="G77">
        <v>6210621</v>
      </c>
    </row>
    <row r="78" spans="1:7" x14ac:dyDescent="0.25">
      <c r="A78" s="1">
        <f t="shared" si="2"/>
        <v>45382</v>
      </c>
      <c r="C78" t="s">
        <v>36</v>
      </c>
      <c r="D78" s="2">
        <v>7789</v>
      </c>
      <c r="E78" s="2" t="s">
        <v>95</v>
      </c>
      <c r="F78" t="s">
        <v>7</v>
      </c>
      <c r="G78" t="s">
        <v>96</v>
      </c>
    </row>
    <row r="79" spans="1:7" x14ac:dyDescent="0.25">
      <c r="A79" s="1">
        <f t="shared" si="2"/>
        <v>45382</v>
      </c>
      <c r="C79" t="s">
        <v>22</v>
      </c>
      <c r="D79" s="2">
        <v>7423</v>
      </c>
      <c r="E79" s="2">
        <v>101250</v>
      </c>
      <c r="F79" t="s">
        <v>7</v>
      </c>
      <c r="G79" t="s">
        <v>97</v>
      </c>
    </row>
    <row r="80" spans="1:7" x14ac:dyDescent="0.25">
      <c r="A80" s="1">
        <f t="shared" si="2"/>
        <v>45382</v>
      </c>
      <c r="C80" t="s">
        <v>43</v>
      </c>
      <c r="D80" s="2">
        <v>640</v>
      </c>
      <c r="E80" s="2">
        <v>13749</v>
      </c>
      <c r="F80" t="s">
        <v>7</v>
      </c>
      <c r="G80">
        <v>8799360</v>
      </c>
    </row>
    <row r="81" spans="1:7" x14ac:dyDescent="0.25">
      <c r="A81" s="1">
        <f t="shared" si="2"/>
        <v>45382</v>
      </c>
      <c r="C81" t="s">
        <v>49</v>
      </c>
      <c r="D81" s="2">
        <v>27457</v>
      </c>
      <c r="E81" s="2">
        <v>54900</v>
      </c>
      <c r="F81" t="s">
        <v>7</v>
      </c>
      <c r="G81">
        <v>15073893</v>
      </c>
    </row>
    <row r="82" spans="1:7" x14ac:dyDescent="0.25">
      <c r="A82" s="1">
        <f t="shared" si="2"/>
        <v>45382</v>
      </c>
      <c r="C82" t="s">
        <v>7</v>
      </c>
      <c r="D82" s="2" t="s">
        <v>98</v>
      </c>
      <c r="E82" s="2">
        <v>1</v>
      </c>
      <c r="F82" t="s">
        <v>7</v>
      </c>
      <c r="G82" t="s">
        <v>98</v>
      </c>
    </row>
    <row r="83" spans="1:7" x14ac:dyDescent="0.25">
      <c r="A83" s="1">
        <f t="shared" si="2"/>
        <v>45382</v>
      </c>
      <c r="C83" t="s">
        <v>52</v>
      </c>
      <c r="D83" s="2">
        <v>3875</v>
      </c>
      <c r="E83" s="2">
        <v>1116</v>
      </c>
      <c r="F83" t="s">
        <v>52</v>
      </c>
      <c r="G83" s="2">
        <f>+E83+D83</f>
        <v>4991</v>
      </c>
    </row>
    <row r="84" spans="1:7" x14ac:dyDescent="0.25">
      <c r="A84" s="1">
        <v>45412</v>
      </c>
      <c r="C84" t="s">
        <v>45</v>
      </c>
      <c r="D84" s="2" t="s">
        <v>56</v>
      </c>
      <c r="E84" s="2" t="s">
        <v>99</v>
      </c>
      <c r="F84" t="s">
        <v>7</v>
      </c>
      <c r="G84" t="s">
        <v>56</v>
      </c>
    </row>
    <row r="85" spans="1:7" x14ac:dyDescent="0.25">
      <c r="A85" s="1">
        <f>+A84</f>
        <v>45412</v>
      </c>
      <c r="C85" t="s">
        <v>35</v>
      </c>
      <c r="D85" s="2">
        <v>182</v>
      </c>
      <c r="E85" s="2">
        <v>9375</v>
      </c>
      <c r="F85" t="s">
        <v>7</v>
      </c>
      <c r="G85">
        <v>1706250</v>
      </c>
    </row>
    <row r="86" spans="1:7" x14ac:dyDescent="0.25">
      <c r="A86" s="1">
        <f t="shared" ref="A86:A108" si="3">+A85</f>
        <v>45412</v>
      </c>
      <c r="C86" t="s">
        <v>100</v>
      </c>
      <c r="D86" s="2">
        <v>128</v>
      </c>
      <c r="E86" s="2">
        <v>13700</v>
      </c>
      <c r="F86" t="s">
        <v>7</v>
      </c>
      <c r="G86">
        <v>1753600</v>
      </c>
    </row>
    <row r="87" spans="1:7" x14ac:dyDescent="0.25">
      <c r="A87" s="1">
        <f t="shared" si="3"/>
        <v>45412</v>
      </c>
      <c r="C87" t="s">
        <v>34</v>
      </c>
      <c r="D87" s="2">
        <v>103</v>
      </c>
      <c r="E87" s="2">
        <v>19750</v>
      </c>
      <c r="F87" t="s">
        <v>7</v>
      </c>
      <c r="G87">
        <v>2034250</v>
      </c>
    </row>
    <row r="88" spans="1:7" x14ac:dyDescent="0.25">
      <c r="A88" s="1">
        <f t="shared" si="3"/>
        <v>45412</v>
      </c>
      <c r="C88" t="s">
        <v>16</v>
      </c>
      <c r="D88" s="2">
        <v>894</v>
      </c>
      <c r="E88" s="2">
        <v>2955</v>
      </c>
      <c r="F88" t="s">
        <v>7</v>
      </c>
      <c r="G88">
        <v>2641770</v>
      </c>
    </row>
    <row r="89" spans="1:7" x14ac:dyDescent="0.25">
      <c r="A89" s="1">
        <f t="shared" si="3"/>
        <v>45412</v>
      </c>
      <c r="C89" t="s">
        <v>19</v>
      </c>
      <c r="D89" s="2">
        <v>8950</v>
      </c>
      <c r="E89" s="2">
        <v>330</v>
      </c>
      <c r="F89" t="s">
        <v>7</v>
      </c>
      <c r="G89">
        <v>2953500</v>
      </c>
    </row>
    <row r="90" spans="1:7" x14ac:dyDescent="0.25">
      <c r="A90" s="1">
        <f t="shared" si="3"/>
        <v>45412</v>
      </c>
      <c r="C90" t="s">
        <v>32</v>
      </c>
      <c r="D90" s="2">
        <v>4695</v>
      </c>
      <c r="E90" s="2">
        <v>63760</v>
      </c>
      <c r="F90" t="s">
        <v>7</v>
      </c>
      <c r="G90">
        <v>2993532</v>
      </c>
    </row>
    <row r="91" spans="1:7" x14ac:dyDescent="0.25">
      <c r="A91" s="1">
        <f t="shared" si="3"/>
        <v>45412</v>
      </c>
      <c r="C91" t="s">
        <v>24</v>
      </c>
      <c r="D91" s="2">
        <v>1088</v>
      </c>
      <c r="E91" s="2" t="s">
        <v>101</v>
      </c>
      <c r="F91" t="s">
        <v>7</v>
      </c>
      <c r="G91" t="s">
        <v>102</v>
      </c>
    </row>
    <row r="92" spans="1:7" x14ac:dyDescent="0.25">
      <c r="A92" s="1">
        <f t="shared" si="3"/>
        <v>45412</v>
      </c>
      <c r="C92" t="s">
        <v>30</v>
      </c>
      <c r="D92" s="2">
        <v>4892</v>
      </c>
      <c r="E92" s="2">
        <v>851</v>
      </c>
      <c r="F92" t="s">
        <v>7</v>
      </c>
      <c r="G92">
        <v>4163092</v>
      </c>
    </row>
    <row r="93" spans="1:7" x14ac:dyDescent="0.25">
      <c r="A93" s="1">
        <f t="shared" si="3"/>
        <v>45412</v>
      </c>
      <c r="C93" t="s">
        <v>103</v>
      </c>
      <c r="D93" s="2">
        <v>623</v>
      </c>
      <c r="E93" s="2">
        <v>6920</v>
      </c>
      <c r="F93" t="s">
        <v>7</v>
      </c>
      <c r="G93">
        <v>4311160</v>
      </c>
    </row>
    <row r="94" spans="1:7" x14ac:dyDescent="0.25">
      <c r="A94" s="1">
        <f t="shared" si="3"/>
        <v>45412</v>
      </c>
      <c r="C94" t="s">
        <v>42</v>
      </c>
      <c r="D94" s="2">
        <v>182</v>
      </c>
      <c r="E94" s="2">
        <v>27720</v>
      </c>
      <c r="F94" t="s">
        <v>7</v>
      </c>
      <c r="G94">
        <v>5045040</v>
      </c>
    </row>
    <row r="95" spans="1:7" x14ac:dyDescent="0.25">
      <c r="A95" s="1">
        <f t="shared" si="3"/>
        <v>45412</v>
      </c>
      <c r="C95" t="s">
        <v>69</v>
      </c>
      <c r="D95" s="2">
        <v>247</v>
      </c>
      <c r="E95" s="2">
        <v>20600</v>
      </c>
      <c r="F95" t="s">
        <v>7</v>
      </c>
      <c r="G95">
        <v>5088200</v>
      </c>
    </row>
    <row r="96" spans="1:7" x14ac:dyDescent="0.25">
      <c r="A96" s="1">
        <f t="shared" si="3"/>
        <v>45412</v>
      </c>
      <c r="C96" t="s">
        <v>147</v>
      </c>
      <c r="D96" s="2">
        <v>3945</v>
      </c>
      <c r="E96" s="2" t="s">
        <v>104</v>
      </c>
      <c r="F96" t="s">
        <v>7</v>
      </c>
      <c r="G96" t="s">
        <v>105</v>
      </c>
    </row>
    <row r="97" spans="1:7" x14ac:dyDescent="0.25">
      <c r="A97" s="1">
        <f t="shared" si="3"/>
        <v>45412</v>
      </c>
      <c r="C97" t="s">
        <v>39</v>
      </c>
      <c r="D97" s="2">
        <v>238</v>
      </c>
      <c r="E97" s="2">
        <v>24000</v>
      </c>
      <c r="F97" t="s">
        <v>7</v>
      </c>
      <c r="G97">
        <v>5712000</v>
      </c>
    </row>
    <row r="98" spans="1:7" x14ac:dyDescent="0.25">
      <c r="A98" s="1">
        <f t="shared" si="3"/>
        <v>45412</v>
      </c>
      <c r="C98" t="s">
        <v>27</v>
      </c>
      <c r="D98" s="2">
        <v>1707</v>
      </c>
      <c r="E98" s="2">
        <v>3640</v>
      </c>
      <c r="F98" t="s">
        <v>7</v>
      </c>
      <c r="G98">
        <v>6213480</v>
      </c>
    </row>
    <row r="99" spans="1:7" x14ac:dyDescent="0.25">
      <c r="A99" s="1">
        <f t="shared" si="3"/>
        <v>45412</v>
      </c>
      <c r="C99" t="s">
        <v>76</v>
      </c>
      <c r="D99" s="2">
        <v>2816</v>
      </c>
      <c r="E99" s="2">
        <v>2300</v>
      </c>
      <c r="F99" t="s">
        <v>7</v>
      </c>
      <c r="G99">
        <v>6476800</v>
      </c>
    </row>
    <row r="100" spans="1:7" x14ac:dyDescent="0.25">
      <c r="A100" s="1">
        <f t="shared" si="3"/>
        <v>45412</v>
      </c>
      <c r="C100" t="s">
        <v>36</v>
      </c>
      <c r="D100" s="2">
        <v>7789</v>
      </c>
      <c r="E100" s="2" t="s">
        <v>106</v>
      </c>
      <c r="F100" t="s">
        <v>7</v>
      </c>
      <c r="G100" t="s">
        <v>107</v>
      </c>
    </row>
    <row r="101" spans="1:7" x14ac:dyDescent="0.25">
      <c r="A101" s="1">
        <f t="shared" si="3"/>
        <v>45412</v>
      </c>
      <c r="C101" t="s">
        <v>22</v>
      </c>
      <c r="D101" s="2">
        <v>7423</v>
      </c>
      <c r="E101" s="2">
        <v>99500</v>
      </c>
      <c r="F101" t="s">
        <v>7</v>
      </c>
      <c r="G101">
        <v>7385885</v>
      </c>
    </row>
    <row r="102" spans="1:7" x14ac:dyDescent="0.25">
      <c r="A102" s="1">
        <f t="shared" si="3"/>
        <v>45412</v>
      </c>
      <c r="C102" t="s">
        <v>71</v>
      </c>
      <c r="D102" s="2">
        <v>3787</v>
      </c>
      <c r="E102" s="2" t="s">
        <v>108</v>
      </c>
      <c r="F102" t="s">
        <v>7</v>
      </c>
      <c r="G102" t="s">
        <v>109</v>
      </c>
    </row>
    <row r="103" spans="1:7" x14ac:dyDescent="0.25">
      <c r="A103" s="1">
        <f t="shared" si="3"/>
        <v>45412</v>
      </c>
      <c r="C103" t="s">
        <v>44</v>
      </c>
      <c r="D103" s="2">
        <v>534</v>
      </c>
      <c r="E103" s="2">
        <v>15970</v>
      </c>
      <c r="F103" t="s">
        <v>7</v>
      </c>
      <c r="G103">
        <v>8527980</v>
      </c>
    </row>
    <row r="104" spans="1:7" x14ac:dyDescent="0.25">
      <c r="A104" s="1">
        <f t="shared" si="3"/>
        <v>45412</v>
      </c>
      <c r="C104" t="s">
        <v>43</v>
      </c>
      <c r="D104" s="2">
        <v>723</v>
      </c>
      <c r="E104" s="2" t="s">
        <v>110</v>
      </c>
      <c r="F104" t="s">
        <v>7</v>
      </c>
      <c r="G104" t="s">
        <v>111</v>
      </c>
    </row>
    <row r="105" spans="1:7" x14ac:dyDescent="0.25">
      <c r="A105" s="1">
        <f t="shared" si="3"/>
        <v>45412</v>
      </c>
      <c r="C105" t="s">
        <v>49</v>
      </c>
      <c r="D105" s="2">
        <v>24808</v>
      </c>
      <c r="E105" s="2">
        <v>61050</v>
      </c>
      <c r="F105" t="s">
        <v>7</v>
      </c>
      <c r="G105">
        <v>15145284</v>
      </c>
    </row>
    <row r="106" spans="1:7" x14ac:dyDescent="0.25">
      <c r="A106" s="1">
        <f t="shared" si="3"/>
        <v>45412</v>
      </c>
      <c r="C106" t="s">
        <v>112</v>
      </c>
      <c r="D106" s="2">
        <v>7693</v>
      </c>
      <c r="E106" s="2">
        <v>1040</v>
      </c>
      <c r="F106" t="s">
        <v>52</v>
      </c>
      <c r="G106" s="2">
        <f>+D106+E106</f>
        <v>8733</v>
      </c>
    </row>
    <row r="107" spans="1:7" x14ac:dyDescent="0.25">
      <c r="A107" s="1">
        <f t="shared" si="3"/>
        <v>45412</v>
      </c>
      <c r="C107" t="s">
        <v>7</v>
      </c>
      <c r="D107" s="2" t="s">
        <v>113</v>
      </c>
      <c r="E107" s="2">
        <v>1</v>
      </c>
      <c r="F107" t="s">
        <v>7</v>
      </c>
      <c r="G107" t="s">
        <v>113</v>
      </c>
    </row>
    <row r="108" spans="1:7" x14ac:dyDescent="0.25">
      <c r="A108" s="1">
        <f t="shared" si="3"/>
        <v>45412</v>
      </c>
      <c r="C108" t="s">
        <v>52</v>
      </c>
      <c r="D108" s="2">
        <v>1978</v>
      </c>
      <c r="E108" s="2">
        <v>1040</v>
      </c>
      <c r="F108" t="s">
        <v>52</v>
      </c>
      <c r="G108">
        <f>+D108*E108</f>
        <v>2057120</v>
      </c>
    </row>
    <row r="109" spans="1:7" x14ac:dyDescent="0.25">
      <c r="A109" s="1">
        <v>45443</v>
      </c>
      <c r="C109" t="s">
        <v>45</v>
      </c>
      <c r="D109" s="2" t="s">
        <v>56</v>
      </c>
      <c r="E109" s="2" t="s">
        <v>99</v>
      </c>
      <c r="F109" t="s">
        <v>7</v>
      </c>
      <c r="G109" t="s">
        <v>56</v>
      </c>
    </row>
    <row r="110" spans="1:7" x14ac:dyDescent="0.25">
      <c r="A110" s="1">
        <f>+A109</f>
        <v>45443</v>
      </c>
      <c r="C110" t="s">
        <v>35</v>
      </c>
      <c r="D110" s="2">
        <v>182</v>
      </c>
      <c r="E110" s="2">
        <v>9375</v>
      </c>
      <c r="F110" t="s">
        <v>7</v>
      </c>
      <c r="G110">
        <v>1706250</v>
      </c>
    </row>
    <row r="111" spans="1:7" x14ac:dyDescent="0.25">
      <c r="A111" s="1">
        <f t="shared" ref="A111:A133" si="4">+A110</f>
        <v>45443</v>
      </c>
      <c r="C111" t="s">
        <v>100</v>
      </c>
      <c r="D111" s="2">
        <v>128</v>
      </c>
      <c r="E111" s="2">
        <v>13700</v>
      </c>
      <c r="F111" t="s">
        <v>7</v>
      </c>
      <c r="G111">
        <v>1753600</v>
      </c>
    </row>
    <row r="112" spans="1:7" x14ac:dyDescent="0.25">
      <c r="A112" s="1">
        <f t="shared" si="4"/>
        <v>45443</v>
      </c>
      <c r="C112" t="s">
        <v>34</v>
      </c>
      <c r="D112" s="2">
        <v>103</v>
      </c>
      <c r="E112" s="2">
        <v>19750</v>
      </c>
      <c r="F112" t="s">
        <v>7</v>
      </c>
      <c r="G112">
        <v>2034250</v>
      </c>
    </row>
    <row r="113" spans="1:7" x14ac:dyDescent="0.25">
      <c r="A113" s="1">
        <f t="shared" si="4"/>
        <v>45443</v>
      </c>
      <c r="C113" t="s">
        <v>16</v>
      </c>
      <c r="D113" s="2">
        <v>894</v>
      </c>
      <c r="E113" s="2">
        <v>2955</v>
      </c>
      <c r="F113" t="s">
        <v>7</v>
      </c>
      <c r="G113">
        <v>2641770</v>
      </c>
    </row>
    <row r="114" spans="1:7" x14ac:dyDescent="0.25">
      <c r="A114" s="1">
        <f t="shared" si="4"/>
        <v>45443</v>
      </c>
      <c r="C114" t="s">
        <v>19</v>
      </c>
      <c r="D114" s="2">
        <v>8950</v>
      </c>
      <c r="E114" s="2">
        <v>330</v>
      </c>
      <c r="F114" t="s">
        <v>7</v>
      </c>
      <c r="G114">
        <v>2953500</v>
      </c>
    </row>
    <row r="115" spans="1:7" x14ac:dyDescent="0.25">
      <c r="A115" s="1">
        <f t="shared" si="4"/>
        <v>45443</v>
      </c>
      <c r="C115" t="s">
        <v>32</v>
      </c>
      <c r="D115" s="2">
        <v>4695</v>
      </c>
      <c r="E115" s="2">
        <v>63760</v>
      </c>
      <c r="F115" t="s">
        <v>7</v>
      </c>
      <c r="G115">
        <v>2993532</v>
      </c>
    </row>
    <row r="116" spans="1:7" x14ac:dyDescent="0.25">
      <c r="A116" s="1">
        <f t="shared" si="4"/>
        <v>45443</v>
      </c>
      <c r="C116" t="s">
        <v>24</v>
      </c>
      <c r="D116" s="2">
        <v>1088</v>
      </c>
      <c r="E116" s="2" t="s">
        <v>101</v>
      </c>
      <c r="F116" t="s">
        <v>7</v>
      </c>
      <c r="G116" t="s">
        <v>102</v>
      </c>
    </row>
    <row r="117" spans="1:7" x14ac:dyDescent="0.25">
      <c r="A117" s="1">
        <f t="shared" si="4"/>
        <v>45443</v>
      </c>
      <c r="C117" t="s">
        <v>30</v>
      </c>
      <c r="D117" s="2">
        <v>4892</v>
      </c>
      <c r="E117" s="2">
        <v>851</v>
      </c>
      <c r="F117" t="s">
        <v>7</v>
      </c>
      <c r="G117">
        <v>4163092</v>
      </c>
    </row>
    <row r="118" spans="1:7" x14ac:dyDescent="0.25">
      <c r="A118" s="1">
        <f t="shared" si="4"/>
        <v>45443</v>
      </c>
      <c r="C118" t="s">
        <v>103</v>
      </c>
      <c r="D118" s="2">
        <v>623</v>
      </c>
      <c r="E118" s="2">
        <v>6920</v>
      </c>
      <c r="F118" t="s">
        <v>7</v>
      </c>
      <c r="G118">
        <v>4311160</v>
      </c>
    </row>
    <row r="119" spans="1:7" x14ac:dyDescent="0.25">
      <c r="A119" s="1">
        <f t="shared" si="4"/>
        <v>45443</v>
      </c>
      <c r="C119" t="s">
        <v>42</v>
      </c>
      <c r="D119" s="2">
        <v>182</v>
      </c>
      <c r="E119" s="2">
        <v>27720</v>
      </c>
      <c r="F119" t="s">
        <v>7</v>
      </c>
      <c r="G119">
        <v>5045040</v>
      </c>
    </row>
    <row r="120" spans="1:7" x14ac:dyDescent="0.25">
      <c r="A120" s="1">
        <f t="shared" si="4"/>
        <v>45443</v>
      </c>
      <c r="C120" t="s">
        <v>69</v>
      </c>
      <c r="D120" s="2">
        <v>247</v>
      </c>
      <c r="E120" s="2">
        <v>20600</v>
      </c>
      <c r="F120" t="s">
        <v>7</v>
      </c>
      <c r="G120">
        <v>5088200</v>
      </c>
    </row>
    <row r="121" spans="1:7" x14ac:dyDescent="0.25">
      <c r="A121" s="1">
        <f t="shared" si="4"/>
        <v>45443</v>
      </c>
      <c r="C121" t="s">
        <v>147</v>
      </c>
      <c r="D121" s="2">
        <v>3945</v>
      </c>
      <c r="E121" s="2" t="s">
        <v>104</v>
      </c>
      <c r="F121" t="s">
        <v>7</v>
      </c>
      <c r="G121" t="s">
        <v>105</v>
      </c>
    </row>
    <row r="122" spans="1:7" x14ac:dyDescent="0.25">
      <c r="A122" s="1">
        <f t="shared" si="4"/>
        <v>45443</v>
      </c>
      <c r="C122" t="s">
        <v>39</v>
      </c>
      <c r="D122" s="2">
        <v>238</v>
      </c>
      <c r="E122" s="2">
        <v>24000</v>
      </c>
      <c r="F122" t="s">
        <v>7</v>
      </c>
      <c r="G122">
        <v>5712000</v>
      </c>
    </row>
    <row r="123" spans="1:7" x14ac:dyDescent="0.25">
      <c r="A123" s="1">
        <f t="shared" si="4"/>
        <v>45443</v>
      </c>
      <c r="C123" t="s">
        <v>27</v>
      </c>
      <c r="D123" s="2">
        <v>1707</v>
      </c>
      <c r="E123" s="2">
        <v>3640</v>
      </c>
      <c r="F123" t="s">
        <v>7</v>
      </c>
      <c r="G123">
        <v>6213480</v>
      </c>
    </row>
    <row r="124" spans="1:7" x14ac:dyDescent="0.25">
      <c r="A124" s="1">
        <f t="shared" si="4"/>
        <v>45443</v>
      </c>
      <c r="C124" t="s">
        <v>76</v>
      </c>
      <c r="D124" s="2">
        <v>2816</v>
      </c>
      <c r="E124" s="2">
        <v>2300</v>
      </c>
      <c r="F124" t="s">
        <v>7</v>
      </c>
      <c r="G124">
        <v>6476800</v>
      </c>
    </row>
    <row r="125" spans="1:7" x14ac:dyDescent="0.25">
      <c r="A125" s="1">
        <f t="shared" si="4"/>
        <v>45443</v>
      </c>
      <c r="C125" t="s">
        <v>36</v>
      </c>
      <c r="D125" s="2">
        <v>7789</v>
      </c>
      <c r="E125" s="2" t="s">
        <v>106</v>
      </c>
      <c r="F125" t="s">
        <v>7</v>
      </c>
      <c r="G125" t="s">
        <v>107</v>
      </c>
    </row>
    <row r="126" spans="1:7" x14ac:dyDescent="0.25">
      <c r="A126" s="1">
        <f t="shared" si="4"/>
        <v>45443</v>
      </c>
      <c r="C126" t="s">
        <v>22</v>
      </c>
      <c r="D126" s="2">
        <v>7423</v>
      </c>
      <c r="E126" s="2">
        <v>99500</v>
      </c>
      <c r="F126" t="s">
        <v>7</v>
      </c>
      <c r="G126">
        <v>7385885</v>
      </c>
    </row>
    <row r="127" spans="1:7" x14ac:dyDescent="0.25">
      <c r="A127" s="1">
        <f t="shared" si="4"/>
        <v>45443</v>
      </c>
      <c r="C127" t="s">
        <v>71</v>
      </c>
      <c r="D127" s="2">
        <v>3787</v>
      </c>
      <c r="E127" s="2" t="s">
        <v>108</v>
      </c>
      <c r="F127" t="s">
        <v>7</v>
      </c>
      <c r="G127" t="s">
        <v>109</v>
      </c>
    </row>
    <row r="128" spans="1:7" x14ac:dyDescent="0.25">
      <c r="A128" s="1">
        <f t="shared" si="4"/>
        <v>45443</v>
      </c>
      <c r="C128" t="s">
        <v>44</v>
      </c>
      <c r="D128" s="2">
        <v>534</v>
      </c>
      <c r="E128" s="2">
        <v>15970</v>
      </c>
      <c r="F128" t="s">
        <v>7</v>
      </c>
      <c r="G128">
        <v>8527980</v>
      </c>
    </row>
    <row r="129" spans="1:7" x14ac:dyDescent="0.25">
      <c r="A129" s="1">
        <f t="shared" si="4"/>
        <v>45443</v>
      </c>
      <c r="C129" t="s">
        <v>43</v>
      </c>
      <c r="D129" s="2">
        <v>723</v>
      </c>
      <c r="E129" s="2" t="s">
        <v>110</v>
      </c>
      <c r="F129" t="s">
        <v>7</v>
      </c>
      <c r="G129" t="s">
        <v>111</v>
      </c>
    </row>
    <row r="130" spans="1:7" x14ac:dyDescent="0.25">
      <c r="A130" s="1">
        <f t="shared" si="4"/>
        <v>45443</v>
      </c>
      <c r="C130" t="s">
        <v>49</v>
      </c>
      <c r="D130" s="2">
        <v>24808</v>
      </c>
      <c r="E130" s="2">
        <v>61050</v>
      </c>
      <c r="F130" t="s">
        <v>7</v>
      </c>
      <c r="G130">
        <v>15145284</v>
      </c>
    </row>
    <row r="131" spans="1:7" x14ac:dyDescent="0.25">
      <c r="A131" s="1">
        <f t="shared" si="4"/>
        <v>45443</v>
      </c>
      <c r="C131" t="s">
        <v>112</v>
      </c>
      <c r="D131" s="2">
        <v>7693</v>
      </c>
      <c r="E131" s="2">
        <v>1215</v>
      </c>
      <c r="F131" t="s">
        <v>52</v>
      </c>
      <c r="G131">
        <f>+D131*E131</f>
        <v>9346995</v>
      </c>
    </row>
    <row r="132" spans="1:7" x14ac:dyDescent="0.25">
      <c r="A132" s="1">
        <f t="shared" si="4"/>
        <v>45443</v>
      </c>
      <c r="C132" t="s">
        <v>7</v>
      </c>
      <c r="D132" s="2" t="s">
        <v>113</v>
      </c>
      <c r="E132" s="2">
        <v>1</v>
      </c>
      <c r="F132" t="s">
        <v>7</v>
      </c>
      <c r="G132" t="s">
        <v>113</v>
      </c>
    </row>
    <row r="133" spans="1:7" x14ac:dyDescent="0.25">
      <c r="A133" s="1">
        <f t="shared" si="4"/>
        <v>45443</v>
      </c>
      <c r="C133" t="s">
        <v>52</v>
      </c>
      <c r="D133" s="2">
        <v>1978</v>
      </c>
      <c r="E133" s="2">
        <v>1215</v>
      </c>
      <c r="F133" t="s">
        <v>52</v>
      </c>
      <c r="G133">
        <f>+D133*E133</f>
        <v>2403270</v>
      </c>
    </row>
    <row r="134" spans="1:7" x14ac:dyDescent="0.25">
      <c r="A134" s="1">
        <v>45473</v>
      </c>
      <c r="C134" t="s">
        <v>45</v>
      </c>
      <c r="D134" s="2" t="s">
        <v>56</v>
      </c>
      <c r="E134" s="2" t="s">
        <v>99</v>
      </c>
      <c r="F134" t="s">
        <v>7</v>
      </c>
      <c r="G134" t="s">
        <v>56</v>
      </c>
    </row>
    <row r="135" spans="1:7" x14ac:dyDescent="0.25">
      <c r="A135" s="1">
        <f>+A134</f>
        <v>45473</v>
      </c>
      <c r="C135" t="s">
        <v>35</v>
      </c>
      <c r="D135" s="2">
        <v>182</v>
      </c>
      <c r="E135" s="2">
        <v>9375</v>
      </c>
      <c r="F135" t="s">
        <v>7</v>
      </c>
      <c r="G135">
        <v>1706250</v>
      </c>
    </row>
    <row r="136" spans="1:7" x14ac:dyDescent="0.25">
      <c r="A136" s="1">
        <f t="shared" ref="A136:A158" si="5">+A135</f>
        <v>45473</v>
      </c>
      <c r="C136" t="s">
        <v>100</v>
      </c>
      <c r="D136" s="2">
        <v>128</v>
      </c>
      <c r="E136" s="2">
        <v>13700</v>
      </c>
      <c r="F136" t="s">
        <v>7</v>
      </c>
      <c r="G136">
        <v>1753600</v>
      </c>
    </row>
    <row r="137" spans="1:7" x14ac:dyDescent="0.25">
      <c r="A137" s="1">
        <f t="shared" si="5"/>
        <v>45473</v>
      </c>
      <c r="C137" t="s">
        <v>34</v>
      </c>
      <c r="D137" s="2">
        <v>103</v>
      </c>
      <c r="E137" s="2">
        <v>19750</v>
      </c>
      <c r="F137" t="s">
        <v>7</v>
      </c>
      <c r="G137">
        <v>2034250</v>
      </c>
    </row>
    <row r="138" spans="1:7" x14ac:dyDescent="0.25">
      <c r="A138" s="1">
        <f t="shared" si="5"/>
        <v>45473</v>
      </c>
      <c r="C138" t="s">
        <v>16</v>
      </c>
      <c r="D138" s="2">
        <v>894</v>
      </c>
      <c r="E138" s="2">
        <v>2955</v>
      </c>
      <c r="F138" t="s">
        <v>7</v>
      </c>
      <c r="G138">
        <v>2641770</v>
      </c>
    </row>
    <row r="139" spans="1:7" x14ac:dyDescent="0.25">
      <c r="A139" s="1">
        <f t="shared" si="5"/>
        <v>45473</v>
      </c>
      <c r="C139" t="s">
        <v>19</v>
      </c>
      <c r="D139" s="2">
        <v>8950</v>
      </c>
      <c r="E139" s="2">
        <v>330</v>
      </c>
      <c r="F139" t="s">
        <v>7</v>
      </c>
      <c r="G139">
        <v>2953500</v>
      </c>
    </row>
    <row r="140" spans="1:7" x14ac:dyDescent="0.25">
      <c r="A140" s="1">
        <f t="shared" si="5"/>
        <v>45473</v>
      </c>
      <c r="C140" t="s">
        <v>32</v>
      </c>
      <c r="D140" s="2">
        <v>4695</v>
      </c>
      <c r="E140" s="2">
        <v>63760</v>
      </c>
      <c r="F140" t="s">
        <v>7</v>
      </c>
      <c r="G140">
        <v>2993532</v>
      </c>
    </row>
    <row r="141" spans="1:7" x14ac:dyDescent="0.25">
      <c r="A141" s="1">
        <f t="shared" si="5"/>
        <v>45473</v>
      </c>
      <c r="C141" t="s">
        <v>24</v>
      </c>
      <c r="D141" s="2">
        <v>1088</v>
      </c>
      <c r="E141" s="2" t="s">
        <v>101</v>
      </c>
      <c r="F141" t="s">
        <v>7</v>
      </c>
      <c r="G141" t="s">
        <v>102</v>
      </c>
    </row>
    <row r="142" spans="1:7" x14ac:dyDescent="0.25">
      <c r="A142" s="1">
        <f t="shared" si="5"/>
        <v>45473</v>
      </c>
      <c r="C142" t="s">
        <v>30</v>
      </c>
      <c r="D142" s="2">
        <v>4892</v>
      </c>
      <c r="E142" s="2">
        <v>851</v>
      </c>
      <c r="F142" t="s">
        <v>7</v>
      </c>
      <c r="G142">
        <v>4163092</v>
      </c>
    </row>
    <row r="143" spans="1:7" x14ac:dyDescent="0.25">
      <c r="A143" s="1">
        <f t="shared" si="5"/>
        <v>45473</v>
      </c>
      <c r="C143" t="s">
        <v>103</v>
      </c>
      <c r="D143" s="2">
        <v>623</v>
      </c>
      <c r="E143" s="2">
        <v>6920</v>
      </c>
      <c r="F143" t="s">
        <v>7</v>
      </c>
      <c r="G143">
        <v>4311160</v>
      </c>
    </row>
    <row r="144" spans="1:7" x14ac:dyDescent="0.25">
      <c r="A144" s="1">
        <f t="shared" si="5"/>
        <v>45473</v>
      </c>
      <c r="C144" t="s">
        <v>42</v>
      </c>
      <c r="D144" s="2">
        <v>182</v>
      </c>
      <c r="E144" s="2">
        <v>27720</v>
      </c>
      <c r="F144" t="s">
        <v>7</v>
      </c>
      <c r="G144">
        <v>5045040</v>
      </c>
    </row>
    <row r="145" spans="1:7" x14ac:dyDescent="0.25">
      <c r="A145" s="1">
        <f t="shared" si="5"/>
        <v>45473</v>
      </c>
      <c r="C145" t="s">
        <v>69</v>
      </c>
      <c r="D145" s="2">
        <v>247</v>
      </c>
      <c r="E145" s="2">
        <v>20600</v>
      </c>
      <c r="F145" t="s">
        <v>7</v>
      </c>
      <c r="G145">
        <v>5088200</v>
      </c>
    </row>
    <row r="146" spans="1:7" x14ac:dyDescent="0.25">
      <c r="A146" s="1">
        <f t="shared" si="5"/>
        <v>45473</v>
      </c>
      <c r="C146" t="s">
        <v>147</v>
      </c>
      <c r="D146" s="2">
        <v>3945</v>
      </c>
      <c r="E146" s="2" t="s">
        <v>104</v>
      </c>
      <c r="F146" t="s">
        <v>7</v>
      </c>
      <c r="G146" t="s">
        <v>105</v>
      </c>
    </row>
    <row r="147" spans="1:7" x14ac:dyDescent="0.25">
      <c r="A147" s="1">
        <f t="shared" si="5"/>
        <v>45473</v>
      </c>
      <c r="C147" t="s">
        <v>39</v>
      </c>
      <c r="D147" s="2">
        <v>238</v>
      </c>
      <c r="E147" s="2">
        <v>24000</v>
      </c>
      <c r="F147" t="s">
        <v>7</v>
      </c>
      <c r="G147">
        <v>5712000</v>
      </c>
    </row>
    <row r="148" spans="1:7" x14ac:dyDescent="0.25">
      <c r="A148" s="1">
        <f t="shared" si="5"/>
        <v>45473</v>
      </c>
      <c r="C148" t="s">
        <v>27</v>
      </c>
      <c r="D148" s="2">
        <v>1707</v>
      </c>
      <c r="E148" s="2">
        <v>3640</v>
      </c>
      <c r="F148" t="s">
        <v>7</v>
      </c>
      <c r="G148">
        <v>6213480</v>
      </c>
    </row>
    <row r="149" spans="1:7" x14ac:dyDescent="0.25">
      <c r="A149" s="1">
        <f t="shared" si="5"/>
        <v>45473</v>
      </c>
      <c r="C149" t="s">
        <v>76</v>
      </c>
      <c r="D149" s="2">
        <v>2816</v>
      </c>
      <c r="E149" s="2">
        <v>2300</v>
      </c>
      <c r="F149" t="s">
        <v>7</v>
      </c>
      <c r="G149">
        <v>6476800</v>
      </c>
    </row>
    <row r="150" spans="1:7" x14ac:dyDescent="0.25">
      <c r="A150" s="1">
        <f t="shared" si="5"/>
        <v>45473</v>
      </c>
      <c r="C150" t="s">
        <v>36</v>
      </c>
      <c r="D150" s="2">
        <v>7789</v>
      </c>
      <c r="E150" s="2" t="s">
        <v>106</v>
      </c>
      <c r="F150" t="s">
        <v>7</v>
      </c>
      <c r="G150" t="s">
        <v>107</v>
      </c>
    </row>
    <row r="151" spans="1:7" x14ac:dyDescent="0.25">
      <c r="A151" s="1">
        <f t="shared" si="5"/>
        <v>45473</v>
      </c>
      <c r="C151" t="s">
        <v>22</v>
      </c>
      <c r="D151" s="2">
        <v>7423</v>
      </c>
      <c r="E151" s="2">
        <v>99500</v>
      </c>
      <c r="F151" t="s">
        <v>7</v>
      </c>
      <c r="G151">
        <v>7385885</v>
      </c>
    </row>
    <row r="152" spans="1:7" x14ac:dyDescent="0.25">
      <c r="A152" s="1">
        <f t="shared" si="5"/>
        <v>45473</v>
      </c>
      <c r="C152" t="s">
        <v>71</v>
      </c>
      <c r="D152" s="2">
        <v>3787</v>
      </c>
      <c r="E152" s="2" t="s">
        <v>108</v>
      </c>
      <c r="F152" t="s">
        <v>7</v>
      </c>
      <c r="G152" t="s">
        <v>109</v>
      </c>
    </row>
    <row r="153" spans="1:7" x14ac:dyDescent="0.25">
      <c r="A153" s="1">
        <f t="shared" si="5"/>
        <v>45473</v>
      </c>
      <c r="C153" t="s">
        <v>44</v>
      </c>
      <c r="D153" s="2">
        <v>534</v>
      </c>
      <c r="E153" s="2">
        <v>15970</v>
      </c>
      <c r="F153" t="s">
        <v>7</v>
      </c>
      <c r="G153">
        <v>8527980</v>
      </c>
    </row>
    <row r="154" spans="1:7" x14ac:dyDescent="0.25">
      <c r="A154" s="1">
        <f t="shared" si="5"/>
        <v>45473</v>
      </c>
      <c r="C154" t="s">
        <v>43</v>
      </c>
      <c r="D154" s="2">
        <v>723</v>
      </c>
      <c r="E154" s="2" t="s">
        <v>110</v>
      </c>
      <c r="F154" t="s">
        <v>7</v>
      </c>
      <c r="G154" t="s">
        <v>111</v>
      </c>
    </row>
    <row r="155" spans="1:7" x14ac:dyDescent="0.25">
      <c r="A155" s="1">
        <f t="shared" si="5"/>
        <v>45473</v>
      </c>
      <c r="C155" t="s">
        <v>49</v>
      </c>
      <c r="D155" s="2">
        <v>24808</v>
      </c>
      <c r="E155" s="2">
        <v>61050</v>
      </c>
      <c r="F155" t="s">
        <v>7</v>
      </c>
      <c r="G155">
        <v>15145284</v>
      </c>
    </row>
    <row r="156" spans="1:7" x14ac:dyDescent="0.25">
      <c r="A156" s="1">
        <f t="shared" si="5"/>
        <v>45473</v>
      </c>
      <c r="C156" t="s">
        <v>112</v>
      </c>
      <c r="D156" s="2">
        <v>7693</v>
      </c>
      <c r="E156" s="2">
        <v>1347</v>
      </c>
      <c r="F156" t="s">
        <v>52</v>
      </c>
      <c r="G156">
        <f>+D156*E156</f>
        <v>10362471</v>
      </c>
    </row>
    <row r="157" spans="1:7" x14ac:dyDescent="0.25">
      <c r="A157" s="1">
        <f t="shared" si="5"/>
        <v>45473</v>
      </c>
      <c r="C157" t="s">
        <v>7</v>
      </c>
      <c r="D157" s="2" t="s">
        <v>113</v>
      </c>
      <c r="E157" s="2">
        <v>1</v>
      </c>
      <c r="F157" t="s">
        <v>7</v>
      </c>
      <c r="G157" t="s">
        <v>113</v>
      </c>
    </row>
    <row r="158" spans="1:7" x14ac:dyDescent="0.25">
      <c r="A158" s="1">
        <f t="shared" si="5"/>
        <v>45473</v>
      </c>
      <c r="C158" t="s">
        <v>52</v>
      </c>
      <c r="D158" s="2">
        <v>1978</v>
      </c>
      <c r="E158" s="2">
        <v>1347</v>
      </c>
      <c r="F158" t="s">
        <v>52</v>
      </c>
      <c r="G158">
        <f>+D158*E158</f>
        <v>2664366</v>
      </c>
    </row>
    <row r="159" spans="1:7" x14ac:dyDescent="0.25">
      <c r="A159" s="1">
        <v>45504</v>
      </c>
      <c r="C159" t="s">
        <v>45</v>
      </c>
      <c r="D159" s="2" t="s">
        <v>56</v>
      </c>
      <c r="E159" s="2" t="s">
        <v>114</v>
      </c>
      <c r="F159" t="s">
        <v>7</v>
      </c>
      <c r="G159" t="s">
        <v>56</v>
      </c>
    </row>
    <row r="160" spans="1:7" x14ac:dyDescent="0.25">
      <c r="A160" s="1">
        <f>+A159</f>
        <v>45504</v>
      </c>
      <c r="C160" t="s">
        <v>19</v>
      </c>
      <c r="D160" s="2">
        <v>3357</v>
      </c>
      <c r="E160" s="2" t="s">
        <v>115</v>
      </c>
      <c r="F160" t="s">
        <v>7</v>
      </c>
      <c r="G160" t="s">
        <v>116</v>
      </c>
    </row>
    <row r="161" spans="1:7" x14ac:dyDescent="0.25">
      <c r="A161" s="1">
        <f t="shared" ref="A161:A182" si="6">+A160</f>
        <v>45504</v>
      </c>
      <c r="C161" t="s">
        <v>117</v>
      </c>
      <c r="D161" s="2">
        <v>2231</v>
      </c>
      <c r="E161" s="2">
        <v>1065</v>
      </c>
      <c r="F161" t="s">
        <v>7</v>
      </c>
      <c r="G161">
        <v>2376015</v>
      </c>
    </row>
    <row r="162" spans="1:7" x14ac:dyDescent="0.25">
      <c r="A162" s="1">
        <f t="shared" si="6"/>
        <v>45504</v>
      </c>
      <c r="C162" t="s">
        <v>35</v>
      </c>
      <c r="D162" s="2">
        <v>182</v>
      </c>
      <c r="E162" s="2">
        <v>14300</v>
      </c>
      <c r="F162" t="s">
        <v>7</v>
      </c>
      <c r="G162">
        <v>2602600</v>
      </c>
    </row>
    <row r="163" spans="1:7" x14ac:dyDescent="0.25">
      <c r="A163" s="1">
        <f t="shared" si="6"/>
        <v>45504</v>
      </c>
      <c r="C163" t="s">
        <v>34</v>
      </c>
      <c r="D163" s="2">
        <v>103</v>
      </c>
      <c r="E163" s="2">
        <v>25425</v>
      </c>
      <c r="F163" t="s">
        <v>7</v>
      </c>
      <c r="G163">
        <v>2618775</v>
      </c>
    </row>
    <row r="164" spans="1:7" x14ac:dyDescent="0.25">
      <c r="A164" s="1">
        <f t="shared" si="6"/>
        <v>45504</v>
      </c>
      <c r="C164" t="s">
        <v>27</v>
      </c>
      <c r="D164" s="2">
        <v>726</v>
      </c>
      <c r="E164" s="2">
        <v>3680</v>
      </c>
      <c r="F164" t="s">
        <v>7</v>
      </c>
      <c r="G164">
        <v>2671680</v>
      </c>
    </row>
    <row r="165" spans="1:7" x14ac:dyDescent="0.25">
      <c r="A165" s="1">
        <f t="shared" si="6"/>
        <v>45504</v>
      </c>
      <c r="C165" t="s">
        <v>16</v>
      </c>
      <c r="D165" s="2">
        <v>894</v>
      </c>
      <c r="E165" s="2">
        <v>3650</v>
      </c>
      <c r="F165" t="s">
        <v>7</v>
      </c>
      <c r="G165">
        <v>3263100</v>
      </c>
    </row>
    <row r="166" spans="1:7" x14ac:dyDescent="0.25">
      <c r="A166" s="1">
        <f t="shared" si="6"/>
        <v>45504</v>
      </c>
      <c r="C166" t="s">
        <v>32</v>
      </c>
      <c r="D166" s="2">
        <v>4695</v>
      </c>
      <c r="E166" s="2">
        <v>72790</v>
      </c>
      <c r="F166" t="s">
        <v>7</v>
      </c>
      <c r="G166" t="s">
        <v>118</v>
      </c>
    </row>
    <row r="167" spans="1:7" x14ac:dyDescent="0.25">
      <c r="A167" s="1">
        <f t="shared" si="6"/>
        <v>45504</v>
      </c>
      <c r="C167" t="s">
        <v>69</v>
      </c>
      <c r="D167" s="2">
        <v>247</v>
      </c>
      <c r="E167" s="2">
        <v>19275</v>
      </c>
      <c r="F167" t="s">
        <v>7</v>
      </c>
      <c r="G167">
        <v>4760925</v>
      </c>
    </row>
    <row r="168" spans="1:7" x14ac:dyDescent="0.25">
      <c r="A168" s="1">
        <f t="shared" si="6"/>
        <v>45504</v>
      </c>
      <c r="C168" t="s">
        <v>103</v>
      </c>
      <c r="D168" s="2">
        <v>623</v>
      </c>
      <c r="E168" s="2">
        <v>7790</v>
      </c>
      <c r="F168" t="s">
        <v>7</v>
      </c>
      <c r="G168">
        <v>4853170</v>
      </c>
    </row>
    <row r="169" spans="1:7" x14ac:dyDescent="0.25">
      <c r="A169" s="1">
        <f t="shared" si="6"/>
        <v>45504</v>
      </c>
      <c r="C169" t="s">
        <v>30</v>
      </c>
      <c r="D169" s="2">
        <v>6493</v>
      </c>
      <c r="E169" s="2">
        <v>944</v>
      </c>
      <c r="F169" t="s">
        <v>7</v>
      </c>
      <c r="G169">
        <v>6129392</v>
      </c>
    </row>
    <row r="170" spans="1:7" x14ac:dyDescent="0.25">
      <c r="A170" s="1">
        <f t="shared" si="6"/>
        <v>45504</v>
      </c>
      <c r="C170" t="s">
        <v>39</v>
      </c>
      <c r="D170" s="2">
        <v>238</v>
      </c>
      <c r="E170" s="2">
        <v>25775</v>
      </c>
      <c r="F170" t="s">
        <v>7</v>
      </c>
      <c r="G170">
        <v>6134450</v>
      </c>
    </row>
    <row r="171" spans="1:7" x14ac:dyDescent="0.25">
      <c r="A171" s="1">
        <f t="shared" si="6"/>
        <v>45504</v>
      </c>
      <c r="C171" t="s">
        <v>42</v>
      </c>
      <c r="D171" s="2">
        <v>182</v>
      </c>
      <c r="E171" s="2">
        <v>35400</v>
      </c>
      <c r="F171" t="s">
        <v>7</v>
      </c>
      <c r="G171">
        <v>6442800</v>
      </c>
    </row>
    <row r="172" spans="1:7" x14ac:dyDescent="0.25">
      <c r="A172" s="1">
        <f t="shared" si="6"/>
        <v>45504</v>
      </c>
      <c r="C172" t="s">
        <v>119</v>
      </c>
      <c r="D172" s="2">
        <v>14100</v>
      </c>
      <c r="E172" s="2">
        <v>54620</v>
      </c>
      <c r="F172" t="s">
        <v>7</v>
      </c>
      <c r="G172">
        <v>7701420</v>
      </c>
    </row>
    <row r="173" spans="1:7" x14ac:dyDescent="0.25">
      <c r="A173" s="1">
        <f t="shared" si="6"/>
        <v>45504</v>
      </c>
      <c r="C173" t="s">
        <v>147</v>
      </c>
      <c r="D173" s="2">
        <v>5351</v>
      </c>
      <c r="E173" s="2">
        <v>1685</v>
      </c>
      <c r="F173" t="s">
        <v>7</v>
      </c>
      <c r="G173">
        <v>9016435</v>
      </c>
    </row>
    <row r="174" spans="1:7" x14ac:dyDescent="0.25">
      <c r="A174" s="1">
        <f t="shared" si="6"/>
        <v>45504</v>
      </c>
      <c r="C174" t="s">
        <v>36</v>
      </c>
      <c r="D174" s="2">
        <v>9740</v>
      </c>
      <c r="E174" s="2">
        <v>957</v>
      </c>
      <c r="F174" t="s">
        <v>7</v>
      </c>
      <c r="G174">
        <v>9321180</v>
      </c>
    </row>
    <row r="175" spans="1:7" x14ac:dyDescent="0.25">
      <c r="A175" s="1">
        <f t="shared" si="6"/>
        <v>45504</v>
      </c>
      <c r="C175" t="s">
        <v>71</v>
      </c>
      <c r="D175" s="2">
        <v>4512</v>
      </c>
      <c r="E175" s="2">
        <v>2345</v>
      </c>
      <c r="F175" t="s">
        <v>7</v>
      </c>
      <c r="G175">
        <v>10580640</v>
      </c>
    </row>
    <row r="176" spans="1:7" x14ac:dyDescent="0.25">
      <c r="A176" s="1">
        <f t="shared" si="6"/>
        <v>45504</v>
      </c>
      <c r="C176" t="s">
        <v>76</v>
      </c>
      <c r="D176" s="2">
        <v>4079</v>
      </c>
      <c r="E176" s="2">
        <v>2795</v>
      </c>
      <c r="F176" t="s">
        <v>7</v>
      </c>
      <c r="G176">
        <v>11400805</v>
      </c>
    </row>
    <row r="177" spans="1:7" x14ac:dyDescent="0.25">
      <c r="A177" s="1">
        <f t="shared" si="6"/>
        <v>45504</v>
      </c>
      <c r="C177" t="s">
        <v>44</v>
      </c>
      <c r="D177" s="2">
        <v>623</v>
      </c>
      <c r="E177" s="2">
        <v>19300</v>
      </c>
      <c r="F177" t="s">
        <v>7</v>
      </c>
      <c r="G177">
        <v>12023900</v>
      </c>
    </row>
    <row r="178" spans="1:7" x14ac:dyDescent="0.25">
      <c r="A178" s="1">
        <f t="shared" si="6"/>
        <v>45504</v>
      </c>
      <c r="C178" t="s">
        <v>43</v>
      </c>
      <c r="D178" s="2">
        <v>723</v>
      </c>
      <c r="E178" s="2">
        <v>17925</v>
      </c>
      <c r="F178" t="s">
        <v>7</v>
      </c>
      <c r="G178">
        <v>12959775</v>
      </c>
    </row>
    <row r="179" spans="1:7" x14ac:dyDescent="0.25">
      <c r="A179" s="1">
        <f t="shared" si="6"/>
        <v>45504</v>
      </c>
      <c r="C179" t="s">
        <v>49</v>
      </c>
      <c r="D179" s="2">
        <v>30558</v>
      </c>
      <c r="E179" s="2">
        <v>64990</v>
      </c>
      <c r="F179" t="s">
        <v>7</v>
      </c>
      <c r="G179" t="s">
        <v>120</v>
      </c>
    </row>
    <row r="180" spans="1:7" x14ac:dyDescent="0.25">
      <c r="A180" s="1">
        <f t="shared" si="6"/>
        <v>45504</v>
      </c>
      <c r="C180" t="s">
        <v>112</v>
      </c>
      <c r="D180" s="2">
        <v>34735</v>
      </c>
      <c r="E180" s="2">
        <v>1293</v>
      </c>
      <c r="F180" t="s">
        <v>52</v>
      </c>
      <c r="G180">
        <f>+E180*D180</f>
        <v>44912355</v>
      </c>
    </row>
    <row r="181" spans="1:7" x14ac:dyDescent="0.25">
      <c r="A181" s="1">
        <f t="shared" si="6"/>
        <v>45504</v>
      </c>
      <c r="C181" t="s">
        <v>7</v>
      </c>
      <c r="D181" s="2" t="s">
        <v>121</v>
      </c>
      <c r="E181" s="2">
        <v>1</v>
      </c>
      <c r="F181" t="s">
        <v>7</v>
      </c>
      <c r="G181" t="s">
        <v>121</v>
      </c>
    </row>
    <row r="182" spans="1:7" x14ac:dyDescent="0.25">
      <c r="A182" s="1">
        <f t="shared" si="6"/>
        <v>45504</v>
      </c>
      <c r="C182" t="s">
        <v>52</v>
      </c>
      <c r="D182" s="2">
        <v>-2</v>
      </c>
      <c r="E182" s="2">
        <v>1293</v>
      </c>
      <c r="F182" t="s">
        <v>52</v>
      </c>
      <c r="G182">
        <f>+E182*D182</f>
        <v>-2586</v>
      </c>
    </row>
    <row r="183" spans="1:7" x14ac:dyDescent="0.25">
      <c r="A183" s="1">
        <v>45534</v>
      </c>
      <c r="C183" t="s">
        <v>45</v>
      </c>
      <c r="D183" s="2" t="s">
        <v>56</v>
      </c>
      <c r="E183" s="2" t="s">
        <v>122</v>
      </c>
      <c r="F183" t="s">
        <v>7</v>
      </c>
      <c r="G183" t="s">
        <v>56</v>
      </c>
    </row>
    <row r="184" spans="1:7" x14ac:dyDescent="0.25">
      <c r="A184" s="1">
        <f>+A183</f>
        <v>45534</v>
      </c>
      <c r="C184" t="s">
        <v>19</v>
      </c>
      <c r="D184" s="2">
        <v>3357</v>
      </c>
      <c r="E184" s="2" t="s">
        <v>123</v>
      </c>
      <c r="F184" t="s">
        <v>7</v>
      </c>
      <c r="G184" t="s">
        <v>124</v>
      </c>
    </row>
    <row r="185" spans="1:7" x14ac:dyDescent="0.25">
      <c r="A185" s="1">
        <f t="shared" ref="A185:A205" si="7">+A184</f>
        <v>45534</v>
      </c>
      <c r="C185" t="s">
        <v>35</v>
      </c>
      <c r="D185" s="2">
        <v>182</v>
      </c>
      <c r="E185" s="2">
        <v>14825</v>
      </c>
      <c r="F185" t="s">
        <v>7</v>
      </c>
      <c r="G185">
        <v>2698150</v>
      </c>
    </row>
    <row r="186" spans="1:7" x14ac:dyDescent="0.25">
      <c r="A186" s="1">
        <f t="shared" si="7"/>
        <v>45534</v>
      </c>
      <c r="C186" t="s">
        <v>16</v>
      </c>
      <c r="D186" s="2">
        <v>894</v>
      </c>
      <c r="E186" s="2">
        <v>3165</v>
      </c>
      <c r="F186" t="s">
        <v>7</v>
      </c>
      <c r="G186">
        <v>2829510</v>
      </c>
    </row>
    <row r="187" spans="1:7" x14ac:dyDescent="0.25">
      <c r="A187" s="1">
        <f t="shared" si="7"/>
        <v>45534</v>
      </c>
      <c r="C187" t="s">
        <v>34</v>
      </c>
      <c r="D187" s="2">
        <v>103</v>
      </c>
      <c r="E187" s="2">
        <v>28125</v>
      </c>
      <c r="F187" t="s">
        <v>7</v>
      </c>
      <c r="G187">
        <v>2896875</v>
      </c>
    </row>
    <row r="188" spans="1:7" x14ac:dyDescent="0.25">
      <c r="A188" s="1">
        <f t="shared" si="7"/>
        <v>45534</v>
      </c>
      <c r="C188" t="s">
        <v>27</v>
      </c>
      <c r="D188" s="2">
        <v>1021</v>
      </c>
      <c r="E188" s="2">
        <v>4390</v>
      </c>
      <c r="F188" t="s">
        <v>7</v>
      </c>
      <c r="G188">
        <v>4482190</v>
      </c>
    </row>
    <row r="189" spans="1:7" x14ac:dyDescent="0.25">
      <c r="A189" s="1">
        <f t="shared" si="7"/>
        <v>45534</v>
      </c>
      <c r="C189" t="s">
        <v>69</v>
      </c>
      <c r="D189" s="2">
        <v>247</v>
      </c>
      <c r="E189" s="2">
        <v>18375</v>
      </c>
      <c r="F189" t="s">
        <v>7</v>
      </c>
      <c r="G189">
        <v>4538625</v>
      </c>
    </row>
    <row r="190" spans="1:7" x14ac:dyDescent="0.25">
      <c r="A190" s="1">
        <f t="shared" si="7"/>
        <v>45534</v>
      </c>
      <c r="C190" t="s">
        <v>117</v>
      </c>
      <c r="D190" s="2">
        <v>3965</v>
      </c>
      <c r="E190" s="2">
        <v>1260</v>
      </c>
      <c r="F190" t="s">
        <v>7</v>
      </c>
      <c r="G190">
        <v>4995900</v>
      </c>
    </row>
    <row r="191" spans="1:7" x14ac:dyDescent="0.25">
      <c r="A191" s="1">
        <f t="shared" si="7"/>
        <v>45534</v>
      </c>
      <c r="C191" t="s">
        <v>103</v>
      </c>
      <c r="D191" s="2">
        <v>623</v>
      </c>
      <c r="E191" s="2">
        <v>9640</v>
      </c>
      <c r="F191" t="s">
        <v>7</v>
      </c>
      <c r="G191">
        <v>6005720</v>
      </c>
    </row>
    <row r="192" spans="1:7" x14ac:dyDescent="0.25">
      <c r="A192" s="1">
        <f t="shared" si="7"/>
        <v>45534</v>
      </c>
      <c r="C192" t="s">
        <v>30</v>
      </c>
      <c r="D192" s="2">
        <v>7538</v>
      </c>
      <c r="E192" s="2">
        <v>834</v>
      </c>
      <c r="F192" t="s">
        <v>7</v>
      </c>
      <c r="G192">
        <v>6286692</v>
      </c>
    </row>
    <row r="193" spans="1:7" x14ac:dyDescent="0.25">
      <c r="A193" s="1">
        <f t="shared" si="7"/>
        <v>45534</v>
      </c>
      <c r="C193" t="s">
        <v>36</v>
      </c>
      <c r="D193" s="2">
        <v>9740</v>
      </c>
      <c r="E193" s="2">
        <v>908</v>
      </c>
      <c r="F193" t="s">
        <v>7</v>
      </c>
      <c r="G193">
        <v>8843920</v>
      </c>
    </row>
    <row r="194" spans="1:7" x14ac:dyDescent="0.25">
      <c r="A194" s="1">
        <f t="shared" si="7"/>
        <v>45534</v>
      </c>
      <c r="C194" t="s">
        <v>148</v>
      </c>
      <c r="D194" s="2">
        <v>6255</v>
      </c>
      <c r="E194" s="2">
        <v>1705</v>
      </c>
      <c r="F194" t="s">
        <v>7</v>
      </c>
      <c r="G194">
        <v>10664775</v>
      </c>
    </row>
    <row r="195" spans="1:7" x14ac:dyDescent="0.25">
      <c r="A195" s="1">
        <f t="shared" si="7"/>
        <v>45534</v>
      </c>
      <c r="C195" t="s">
        <v>39</v>
      </c>
      <c r="D195" s="2">
        <v>358</v>
      </c>
      <c r="E195" s="2">
        <v>30625</v>
      </c>
      <c r="F195" t="s">
        <v>7</v>
      </c>
      <c r="G195">
        <v>10963750</v>
      </c>
    </row>
    <row r="196" spans="1:7" x14ac:dyDescent="0.25">
      <c r="A196" s="1">
        <f t="shared" si="7"/>
        <v>45534</v>
      </c>
      <c r="C196" t="s">
        <v>32</v>
      </c>
      <c r="D196" s="2">
        <v>14191</v>
      </c>
      <c r="E196" s="2">
        <v>78440</v>
      </c>
      <c r="F196" t="s">
        <v>7</v>
      </c>
      <c r="G196" t="s">
        <v>125</v>
      </c>
    </row>
    <row r="197" spans="1:7" x14ac:dyDescent="0.25">
      <c r="A197" s="1">
        <f t="shared" si="7"/>
        <v>45534</v>
      </c>
      <c r="C197" t="s">
        <v>43</v>
      </c>
      <c r="D197" s="2">
        <v>543</v>
      </c>
      <c r="E197" s="2">
        <v>22225</v>
      </c>
      <c r="F197" t="s">
        <v>7</v>
      </c>
      <c r="G197">
        <v>12068175</v>
      </c>
    </row>
    <row r="198" spans="1:7" x14ac:dyDescent="0.25">
      <c r="A198" s="1">
        <f t="shared" si="7"/>
        <v>45534</v>
      </c>
      <c r="C198" t="s">
        <v>76</v>
      </c>
      <c r="D198" s="2">
        <v>4079</v>
      </c>
      <c r="E198" s="2">
        <v>3015</v>
      </c>
      <c r="F198" t="s">
        <v>7</v>
      </c>
      <c r="G198">
        <v>12298185</v>
      </c>
    </row>
    <row r="199" spans="1:7" x14ac:dyDescent="0.25">
      <c r="A199" s="1">
        <f t="shared" si="7"/>
        <v>45534</v>
      </c>
      <c r="C199" t="s">
        <v>44</v>
      </c>
      <c r="D199" s="2">
        <v>675</v>
      </c>
      <c r="E199" s="2">
        <v>22550</v>
      </c>
      <c r="F199" t="s">
        <v>7</v>
      </c>
      <c r="G199">
        <v>15221250</v>
      </c>
    </row>
    <row r="200" spans="1:7" x14ac:dyDescent="0.25">
      <c r="A200" s="1">
        <f t="shared" si="7"/>
        <v>45534</v>
      </c>
      <c r="C200" t="s">
        <v>71</v>
      </c>
      <c r="D200" s="2">
        <v>5486</v>
      </c>
      <c r="E200" s="2">
        <v>2820</v>
      </c>
      <c r="F200" t="s">
        <v>7</v>
      </c>
      <c r="G200">
        <v>15470520</v>
      </c>
    </row>
    <row r="201" spans="1:7" x14ac:dyDescent="0.25">
      <c r="A201" s="1">
        <f t="shared" si="7"/>
        <v>45534</v>
      </c>
      <c r="C201" t="s">
        <v>119</v>
      </c>
      <c r="D201" s="2">
        <v>38971</v>
      </c>
      <c r="E201" s="2">
        <v>58660</v>
      </c>
      <c r="F201" t="s">
        <v>7</v>
      </c>
      <c r="G201" t="s">
        <v>126</v>
      </c>
    </row>
    <row r="202" spans="1:7" x14ac:dyDescent="0.25">
      <c r="A202" s="1">
        <f t="shared" si="7"/>
        <v>45534</v>
      </c>
      <c r="C202" t="s">
        <v>49</v>
      </c>
      <c r="D202" s="2">
        <v>55825</v>
      </c>
      <c r="E202" s="2">
        <v>69630</v>
      </c>
      <c r="F202" t="s">
        <v>7</v>
      </c>
      <c r="G202" t="s">
        <v>127</v>
      </c>
    </row>
    <row r="203" spans="1:7" x14ac:dyDescent="0.25">
      <c r="A203" s="1">
        <f t="shared" si="7"/>
        <v>45534</v>
      </c>
      <c r="C203" t="s">
        <v>112</v>
      </c>
      <c r="D203" s="2">
        <v>19916</v>
      </c>
      <c r="E203" s="2">
        <v>1279</v>
      </c>
      <c r="F203" t="s">
        <v>52</v>
      </c>
      <c r="G203">
        <f>+D203*E203</f>
        <v>25472564</v>
      </c>
    </row>
    <row r="204" spans="1:7" x14ac:dyDescent="0.25">
      <c r="A204" s="1">
        <f t="shared" si="7"/>
        <v>45534</v>
      </c>
      <c r="C204" t="s">
        <v>7</v>
      </c>
      <c r="D204" s="2" t="s">
        <v>128</v>
      </c>
      <c r="E204" s="2">
        <v>1</v>
      </c>
      <c r="F204" t="s">
        <v>7</v>
      </c>
      <c r="G204" t="s">
        <v>128</v>
      </c>
    </row>
    <row r="205" spans="1:7" x14ac:dyDescent="0.25">
      <c r="A205" s="1">
        <f t="shared" si="7"/>
        <v>45534</v>
      </c>
      <c r="C205" t="s">
        <v>52</v>
      </c>
      <c r="D205" s="2">
        <v>1</v>
      </c>
      <c r="E205" s="2">
        <v>1279</v>
      </c>
      <c r="F205" t="s">
        <v>52</v>
      </c>
      <c r="G205">
        <f>+D205*E205</f>
        <v>1279</v>
      </c>
    </row>
    <row r="206" spans="1:7" x14ac:dyDescent="0.25">
      <c r="A206" s="1">
        <v>45565</v>
      </c>
      <c r="C206" t="s">
        <v>82</v>
      </c>
      <c r="D206" s="2" t="s">
        <v>129</v>
      </c>
      <c r="E206" s="2">
        <v>0</v>
      </c>
      <c r="F206">
        <v>0</v>
      </c>
      <c r="G206">
        <v>0</v>
      </c>
    </row>
    <row r="207" spans="1:7" x14ac:dyDescent="0.25">
      <c r="A207" s="1">
        <f>+A206</f>
        <v>45565</v>
      </c>
      <c r="C207" t="s">
        <v>45</v>
      </c>
      <c r="D207" s="2" t="s">
        <v>56</v>
      </c>
      <c r="E207" s="2" t="s">
        <v>130</v>
      </c>
      <c r="F207" t="s">
        <v>7</v>
      </c>
      <c r="G207" t="s">
        <v>56</v>
      </c>
    </row>
    <row r="208" spans="1:7" x14ac:dyDescent="0.25">
      <c r="A208" s="1">
        <f t="shared" ref="A208:A229" si="8">+A207</f>
        <v>45565</v>
      </c>
      <c r="C208" t="s">
        <v>19</v>
      </c>
      <c r="D208" s="2">
        <v>3357</v>
      </c>
      <c r="E208" s="2" t="s">
        <v>131</v>
      </c>
      <c r="F208" t="s">
        <v>7</v>
      </c>
      <c r="G208" t="s">
        <v>132</v>
      </c>
    </row>
    <row r="209" spans="1:7" x14ac:dyDescent="0.25">
      <c r="A209" s="1">
        <f t="shared" si="8"/>
        <v>45565</v>
      </c>
      <c r="C209" t="s">
        <v>35</v>
      </c>
      <c r="D209" s="2">
        <v>182</v>
      </c>
      <c r="E209" s="2">
        <v>14350</v>
      </c>
      <c r="F209" t="s">
        <v>7</v>
      </c>
      <c r="G209">
        <v>2611700</v>
      </c>
    </row>
    <row r="210" spans="1:7" x14ac:dyDescent="0.25">
      <c r="A210" s="1">
        <f t="shared" si="8"/>
        <v>45565</v>
      </c>
      <c r="C210" t="s">
        <v>16</v>
      </c>
      <c r="D210" s="2">
        <v>894</v>
      </c>
      <c r="E210" s="2">
        <v>3040</v>
      </c>
      <c r="F210" t="s">
        <v>7</v>
      </c>
      <c r="G210">
        <v>2717760</v>
      </c>
    </row>
    <row r="211" spans="1:7" x14ac:dyDescent="0.25">
      <c r="A211" s="1">
        <f t="shared" si="8"/>
        <v>45565</v>
      </c>
      <c r="C211" t="s">
        <v>34</v>
      </c>
      <c r="D211" s="2">
        <v>103</v>
      </c>
      <c r="E211" s="2">
        <v>29575</v>
      </c>
      <c r="F211" t="s">
        <v>7</v>
      </c>
      <c r="G211">
        <v>3046225</v>
      </c>
    </row>
    <row r="212" spans="1:7" x14ac:dyDescent="0.25">
      <c r="A212" s="1">
        <f t="shared" si="8"/>
        <v>45565</v>
      </c>
      <c r="C212" t="s">
        <v>27</v>
      </c>
      <c r="D212" s="2">
        <v>1021</v>
      </c>
      <c r="E212" s="2">
        <v>4270</v>
      </c>
      <c r="F212" t="s">
        <v>7</v>
      </c>
      <c r="G212">
        <v>4359670</v>
      </c>
    </row>
    <row r="213" spans="1:7" x14ac:dyDescent="0.25">
      <c r="A213" s="1">
        <f t="shared" si="8"/>
        <v>45565</v>
      </c>
      <c r="C213" t="s">
        <v>103</v>
      </c>
      <c r="D213" s="2">
        <v>623</v>
      </c>
      <c r="E213" s="2">
        <v>8510</v>
      </c>
      <c r="F213" t="s">
        <v>7</v>
      </c>
      <c r="G213">
        <v>5301730</v>
      </c>
    </row>
    <row r="214" spans="1:7" x14ac:dyDescent="0.25">
      <c r="A214" s="1">
        <f t="shared" si="8"/>
        <v>45565</v>
      </c>
      <c r="C214" t="s">
        <v>117</v>
      </c>
      <c r="D214" s="2">
        <v>3965</v>
      </c>
      <c r="E214" s="2">
        <v>1370</v>
      </c>
      <c r="F214" t="s">
        <v>7</v>
      </c>
      <c r="G214">
        <v>5432050</v>
      </c>
    </row>
    <row r="215" spans="1:7" x14ac:dyDescent="0.25">
      <c r="A215" s="1">
        <f t="shared" si="8"/>
        <v>45565</v>
      </c>
      <c r="C215" t="s">
        <v>30</v>
      </c>
      <c r="D215" s="2">
        <v>7538</v>
      </c>
      <c r="E215" s="2">
        <v>831</v>
      </c>
      <c r="F215" t="s">
        <v>7</v>
      </c>
      <c r="G215">
        <v>6264078</v>
      </c>
    </row>
    <row r="216" spans="1:7" x14ac:dyDescent="0.25">
      <c r="A216" s="1">
        <f t="shared" si="8"/>
        <v>45565</v>
      </c>
      <c r="C216" t="s">
        <v>85</v>
      </c>
      <c r="D216" s="2">
        <v>8790</v>
      </c>
      <c r="E216" s="2">
        <v>72400</v>
      </c>
      <c r="F216" t="s">
        <v>7</v>
      </c>
      <c r="G216">
        <v>6363960</v>
      </c>
    </row>
    <row r="217" spans="1:7" x14ac:dyDescent="0.25">
      <c r="A217" s="1">
        <f t="shared" si="8"/>
        <v>45565</v>
      </c>
      <c r="C217" t="s">
        <v>36</v>
      </c>
      <c r="D217" s="2">
        <v>9740</v>
      </c>
      <c r="E217" s="2">
        <v>864</v>
      </c>
      <c r="F217" t="s">
        <v>7</v>
      </c>
      <c r="G217">
        <v>8415360</v>
      </c>
    </row>
    <row r="218" spans="1:7" x14ac:dyDescent="0.25">
      <c r="A218" s="1">
        <f t="shared" si="8"/>
        <v>45565</v>
      </c>
      <c r="C218" t="s">
        <v>39</v>
      </c>
      <c r="D218" s="2">
        <v>358</v>
      </c>
      <c r="E218" s="2">
        <v>26400</v>
      </c>
      <c r="F218" t="s">
        <v>7</v>
      </c>
      <c r="G218">
        <v>9451200</v>
      </c>
    </row>
    <row r="219" spans="1:7" x14ac:dyDescent="0.25">
      <c r="A219" s="1">
        <f t="shared" si="8"/>
        <v>45565</v>
      </c>
      <c r="C219" t="s">
        <v>32</v>
      </c>
      <c r="D219" s="2">
        <v>14191</v>
      </c>
      <c r="E219" s="2">
        <v>78650</v>
      </c>
      <c r="F219" t="s">
        <v>7</v>
      </c>
      <c r="G219" t="s">
        <v>133</v>
      </c>
    </row>
    <row r="220" spans="1:7" x14ac:dyDescent="0.25">
      <c r="A220" s="1">
        <f t="shared" si="8"/>
        <v>45565</v>
      </c>
      <c r="C220" t="s">
        <v>43</v>
      </c>
      <c r="D220" s="2">
        <v>543</v>
      </c>
      <c r="E220" s="2">
        <v>21200</v>
      </c>
      <c r="F220" t="s">
        <v>7</v>
      </c>
      <c r="G220">
        <v>11511600</v>
      </c>
    </row>
    <row r="221" spans="1:7" x14ac:dyDescent="0.25">
      <c r="A221" s="1">
        <f t="shared" si="8"/>
        <v>45565</v>
      </c>
      <c r="C221" t="s">
        <v>148</v>
      </c>
      <c r="D221" s="2">
        <v>6255</v>
      </c>
      <c r="E221" s="2">
        <v>1915</v>
      </c>
      <c r="F221" t="s">
        <v>7</v>
      </c>
      <c r="G221">
        <v>11978325</v>
      </c>
    </row>
    <row r="222" spans="1:7" x14ac:dyDescent="0.25">
      <c r="A222" s="1">
        <f t="shared" si="8"/>
        <v>45565</v>
      </c>
      <c r="C222" t="s">
        <v>44</v>
      </c>
      <c r="D222" s="2">
        <v>675</v>
      </c>
      <c r="E222" s="2">
        <v>18175</v>
      </c>
      <c r="F222" t="s">
        <v>7</v>
      </c>
      <c r="G222">
        <v>12268125</v>
      </c>
    </row>
    <row r="223" spans="1:7" x14ac:dyDescent="0.25">
      <c r="A223" s="1">
        <f t="shared" si="8"/>
        <v>45565</v>
      </c>
      <c r="C223" t="s">
        <v>76</v>
      </c>
      <c r="D223" s="2">
        <v>4079</v>
      </c>
      <c r="E223" s="2">
        <v>3180</v>
      </c>
      <c r="F223" t="s">
        <v>7</v>
      </c>
      <c r="G223">
        <v>12971220</v>
      </c>
    </row>
    <row r="224" spans="1:7" x14ac:dyDescent="0.25">
      <c r="A224" s="1">
        <f t="shared" si="8"/>
        <v>45565</v>
      </c>
      <c r="C224" t="s">
        <v>71</v>
      </c>
      <c r="D224" s="2">
        <v>5486</v>
      </c>
      <c r="E224" s="2">
        <v>2970</v>
      </c>
      <c r="F224" t="s">
        <v>7</v>
      </c>
      <c r="G224">
        <v>16293420</v>
      </c>
    </row>
    <row r="225" spans="1:7" x14ac:dyDescent="0.25">
      <c r="A225" s="1">
        <f t="shared" si="8"/>
        <v>45565</v>
      </c>
      <c r="C225" t="s">
        <v>119</v>
      </c>
      <c r="D225" s="2">
        <v>47066</v>
      </c>
      <c r="E225" s="2">
        <v>61000</v>
      </c>
      <c r="F225" t="s">
        <v>7</v>
      </c>
      <c r="G225">
        <v>28710260</v>
      </c>
    </row>
    <row r="226" spans="1:7" x14ac:dyDescent="0.25">
      <c r="A226" s="1">
        <f t="shared" si="8"/>
        <v>45565</v>
      </c>
      <c r="C226" t="s">
        <v>49</v>
      </c>
      <c r="D226" s="2">
        <v>55825</v>
      </c>
      <c r="E226" s="2">
        <v>70800</v>
      </c>
      <c r="F226" t="s">
        <v>7</v>
      </c>
      <c r="G226">
        <v>39524100</v>
      </c>
    </row>
    <row r="227" spans="1:7" x14ac:dyDescent="0.25">
      <c r="A227" s="1">
        <f t="shared" si="8"/>
        <v>45565</v>
      </c>
      <c r="C227" t="s">
        <v>112</v>
      </c>
      <c r="D227" s="2">
        <v>15002</v>
      </c>
      <c r="E227" s="2">
        <v>1215</v>
      </c>
      <c r="F227" t="s">
        <v>52</v>
      </c>
      <c r="G227">
        <f>+D227*E227</f>
        <v>18227430</v>
      </c>
    </row>
    <row r="228" spans="1:7" x14ac:dyDescent="0.25">
      <c r="A228" s="1">
        <f t="shared" si="8"/>
        <v>45565</v>
      </c>
      <c r="C228" t="s">
        <v>7</v>
      </c>
      <c r="D228" s="2" t="s">
        <v>134</v>
      </c>
      <c r="E228" s="2">
        <v>1</v>
      </c>
      <c r="F228" t="s">
        <v>7</v>
      </c>
      <c r="G228" t="s">
        <v>134</v>
      </c>
    </row>
    <row r="229" spans="1:7" x14ac:dyDescent="0.25">
      <c r="A229" s="1">
        <f t="shared" si="8"/>
        <v>45565</v>
      </c>
      <c r="C229" t="s">
        <v>52</v>
      </c>
      <c r="D229" s="2">
        <v>-14</v>
      </c>
      <c r="E229" s="2">
        <v>1215</v>
      </c>
      <c r="F229" t="s">
        <v>52</v>
      </c>
      <c r="G229">
        <f>+E229*D229</f>
        <v>-17010</v>
      </c>
    </row>
    <row r="230" spans="1:7" x14ac:dyDescent="0.25">
      <c r="A230" s="1">
        <v>45596</v>
      </c>
      <c r="C230" t="s">
        <v>45</v>
      </c>
      <c r="D230" s="2" t="s">
        <v>56</v>
      </c>
      <c r="E230" s="2" t="s">
        <v>135</v>
      </c>
      <c r="F230" t="s">
        <v>7</v>
      </c>
      <c r="G230" t="s">
        <v>56</v>
      </c>
    </row>
    <row r="231" spans="1:7" x14ac:dyDescent="0.25">
      <c r="A231" s="1">
        <f>+A230</f>
        <v>45596</v>
      </c>
      <c r="C231" t="s">
        <v>34</v>
      </c>
      <c r="D231" s="2">
        <v>52</v>
      </c>
      <c r="E231" s="2">
        <v>27325</v>
      </c>
      <c r="F231" t="s">
        <v>7</v>
      </c>
      <c r="G231">
        <v>1420900</v>
      </c>
    </row>
    <row r="232" spans="1:7" x14ac:dyDescent="0.25">
      <c r="A232" s="1">
        <f t="shared" ref="A232:A251" si="9">+A231</f>
        <v>45596</v>
      </c>
      <c r="C232" t="s">
        <v>30</v>
      </c>
      <c r="D232" s="2">
        <v>4829</v>
      </c>
      <c r="E232" s="2">
        <v>795</v>
      </c>
      <c r="F232" t="s">
        <v>7</v>
      </c>
      <c r="G232">
        <v>3839055</v>
      </c>
    </row>
    <row r="233" spans="1:7" x14ac:dyDescent="0.25">
      <c r="A233" s="1">
        <f t="shared" si="9"/>
        <v>45596</v>
      </c>
      <c r="C233" t="s">
        <v>36</v>
      </c>
      <c r="D233" s="2">
        <v>4870</v>
      </c>
      <c r="E233" s="2">
        <v>843</v>
      </c>
      <c r="F233" t="s">
        <v>7</v>
      </c>
      <c r="G233">
        <v>4105410</v>
      </c>
    </row>
    <row r="234" spans="1:7" x14ac:dyDescent="0.25">
      <c r="A234" s="1">
        <f t="shared" si="9"/>
        <v>45596</v>
      </c>
      <c r="C234" t="s">
        <v>16</v>
      </c>
      <c r="D234" s="2">
        <v>1774</v>
      </c>
      <c r="E234" s="2">
        <v>2950</v>
      </c>
      <c r="F234" t="s">
        <v>7</v>
      </c>
      <c r="G234">
        <v>5233300</v>
      </c>
    </row>
    <row r="235" spans="1:7" x14ac:dyDescent="0.25">
      <c r="A235" s="1">
        <f t="shared" si="9"/>
        <v>45596</v>
      </c>
      <c r="C235" t="s">
        <v>27</v>
      </c>
      <c r="D235" s="2">
        <v>1021</v>
      </c>
      <c r="E235" s="2">
        <v>5280</v>
      </c>
      <c r="F235" t="s">
        <v>7</v>
      </c>
      <c r="G235">
        <v>5390880</v>
      </c>
    </row>
    <row r="236" spans="1:7" x14ac:dyDescent="0.25">
      <c r="A236" s="1">
        <f t="shared" si="9"/>
        <v>45596</v>
      </c>
      <c r="C236" t="s">
        <v>103</v>
      </c>
      <c r="D236" s="2">
        <v>623</v>
      </c>
      <c r="E236" s="2">
        <v>8870</v>
      </c>
      <c r="F236" t="s">
        <v>7</v>
      </c>
      <c r="G236">
        <v>5526010</v>
      </c>
    </row>
    <row r="237" spans="1:7" x14ac:dyDescent="0.25">
      <c r="A237" s="1">
        <f t="shared" si="9"/>
        <v>45596</v>
      </c>
      <c r="C237" t="s">
        <v>35</v>
      </c>
      <c r="D237" s="2">
        <v>471</v>
      </c>
      <c r="E237" s="2">
        <v>13100</v>
      </c>
      <c r="F237" t="s">
        <v>7</v>
      </c>
      <c r="G237">
        <v>6170100</v>
      </c>
    </row>
    <row r="238" spans="1:7" x14ac:dyDescent="0.25">
      <c r="A238" s="1">
        <f t="shared" si="9"/>
        <v>45596</v>
      </c>
      <c r="C238" t="s">
        <v>85</v>
      </c>
      <c r="D238" s="2">
        <v>8790</v>
      </c>
      <c r="E238" s="2">
        <v>74520</v>
      </c>
      <c r="F238" t="s">
        <v>7</v>
      </c>
      <c r="G238">
        <v>6550308</v>
      </c>
    </row>
    <row r="239" spans="1:7" x14ac:dyDescent="0.25">
      <c r="A239" s="1">
        <f t="shared" si="9"/>
        <v>45596</v>
      </c>
      <c r="C239" t="s">
        <v>117</v>
      </c>
      <c r="D239" s="2">
        <v>5554</v>
      </c>
      <c r="E239" s="2">
        <v>1665</v>
      </c>
      <c r="F239" t="s">
        <v>7</v>
      </c>
      <c r="G239">
        <v>9247410</v>
      </c>
    </row>
    <row r="240" spans="1:7" x14ac:dyDescent="0.25">
      <c r="A240" s="1">
        <f t="shared" si="9"/>
        <v>45596</v>
      </c>
      <c r="C240" t="s">
        <v>43</v>
      </c>
      <c r="D240" s="2">
        <v>543</v>
      </c>
      <c r="E240" s="2">
        <v>19650</v>
      </c>
      <c r="F240" t="s">
        <v>7</v>
      </c>
      <c r="G240">
        <v>10669950</v>
      </c>
    </row>
    <row r="241" spans="1:7" x14ac:dyDescent="0.25">
      <c r="A241" s="1">
        <f t="shared" si="9"/>
        <v>45596</v>
      </c>
      <c r="C241" t="s">
        <v>39</v>
      </c>
      <c r="D241" s="2">
        <v>386</v>
      </c>
      <c r="E241" s="2">
        <v>28350</v>
      </c>
      <c r="F241" t="s">
        <v>7</v>
      </c>
      <c r="G241">
        <v>10943100</v>
      </c>
    </row>
    <row r="242" spans="1:7" x14ac:dyDescent="0.25">
      <c r="A242" s="1">
        <f t="shared" si="9"/>
        <v>45596</v>
      </c>
      <c r="C242" t="s">
        <v>32</v>
      </c>
      <c r="D242" s="2">
        <v>14191</v>
      </c>
      <c r="E242" s="2">
        <v>81200</v>
      </c>
      <c r="F242" t="s">
        <v>7</v>
      </c>
      <c r="G242">
        <v>11523092</v>
      </c>
    </row>
    <row r="243" spans="1:7" x14ac:dyDescent="0.25">
      <c r="A243" s="1">
        <f t="shared" si="9"/>
        <v>45596</v>
      </c>
      <c r="C243" t="s">
        <v>147</v>
      </c>
      <c r="D243" s="2">
        <v>6255</v>
      </c>
      <c r="E243" s="2">
        <v>1925</v>
      </c>
      <c r="F243" t="s">
        <v>7</v>
      </c>
      <c r="G243">
        <v>12040875</v>
      </c>
    </row>
    <row r="244" spans="1:7" x14ac:dyDescent="0.25">
      <c r="A244" s="1">
        <f t="shared" si="9"/>
        <v>45596</v>
      </c>
      <c r="C244" t="s">
        <v>76</v>
      </c>
      <c r="D244" s="2">
        <v>3945</v>
      </c>
      <c r="E244" s="2">
        <v>3225</v>
      </c>
      <c r="F244" t="s">
        <v>7</v>
      </c>
      <c r="G244">
        <v>12722625</v>
      </c>
    </row>
    <row r="245" spans="1:7" x14ac:dyDescent="0.25">
      <c r="A245" s="1">
        <f t="shared" si="9"/>
        <v>45596</v>
      </c>
      <c r="C245" t="s">
        <v>44</v>
      </c>
      <c r="D245" s="2">
        <v>713</v>
      </c>
      <c r="E245" s="2">
        <v>19250</v>
      </c>
      <c r="F245" t="s">
        <v>7</v>
      </c>
      <c r="G245">
        <v>13725250</v>
      </c>
    </row>
    <row r="246" spans="1:7" x14ac:dyDescent="0.25">
      <c r="A246" s="1">
        <f t="shared" si="9"/>
        <v>45596</v>
      </c>
      <c r="C246" t="s">
        <v>71</v>
      </c>
      <c r="D246" s="2">
        <v>6370</v>
      </c>
      <c r="E246" s="2">
        <v>3105</v>
      </c>
      <c r="F246" t="s">
        <v>7</v>
      </c>
      <c r="G246">
        <v>19778850</v>
      </c>
    </row>
    <row r="247" spans="1:7" x14ac:dyDescent="0.25">
      <c r="A247" s="1">
        <f t="shared" si="9"/>
        <v>45596</v>
      </c>
      <c r="C247" t="s">
        <v>119</v>
      </c>
      <c r="D247" s="2">
        <v>47066</v>
      </c>
      <c r="E247" s="2">
        <v>65550</v>
      </c>
      <c r="F247" t="s">
        <v>7</v>
      </c>
      <c r="G247">
        <v>30851763</v>
      </c>
    </row>
    <row r="248" spans="1:7" x14ac:dyDescent="0.25">
      <c r="A248" s="1">
        <f t="shared" si="9"/>
        <v>45596</v>
      </c>
      <c r="C248" t="s">
        <v>49</v>
      </c>
      <c r="D248" s="2">
        <v>65814</v>
      </c>
      <c r="E248" s="2">
        <v>72300</v>
      </c>
      <c r="F248" t="s">
        <v>7</v>
      </c>
      <c r="G248">
        <v>47583522</v>
      </c>
    </row>
    <row r="249" spans="1:7" x14ac:dyDescent="0.25">
      <c r="A249" s="1">
        <f t="shared" si="9"/>
        <v>45596</v>
      </c>
      <c r="C249" t="s">
        <v>7</v>
      </c>
      <c r="D249" s="2" t="s">
        <v>136</v>
      </c>
      <c r="E249" s="2">
        <v>1</v>
      </c>
      <c r="F249" t="s">
        <v>7</v>
      </c>
      <c r="G249" t="s">
        <v>136</v>
      </c>
    </row>
    <row r="250" spans="1:7" x14ac:dyDescent="0.25">
      <c r="A250" s="1">
        <f t="shared" si="9"/>
        <v>45596</v>
      </c>
      <c r="C250" t="s">
        <v>2</v>
      </c>
      <c r="D250" s="2" t="s">
        <v>129</v>
      </c>
      <c r="E250" s="2">
        <v>1</v>
      </c>
      <c r="F250" t="s">
        <v>2</v>
      </c>
      <c r="G250" t="s">
        <v>129</v>
      </c>
    </row>
    <row r="251" spans="1:7" x14ac:dyDescent="0.25">
      <c r="A251" s="1">
        <f t="shared" si="9"/>
        <v>45596</v>
      </c>
      <c r="C251" t="s">
        <v>52</v>
      </c>
      <c r="D251" s="2" t="s">
        <v>137</v>
      </c>
      <c r="E251" s="2">
        <v>1</v>
      </c>
      <c r="F251" t="s">
        <v>52</v>
      </c>
      <c r="G251" t="s">
        <v>137</v>
      </c>
    </row>
    <row r="252" spans="1:7" x14ac:dyDescent="0.25">
      <c r="A252" s="1">
        <v>45626</v>
      </c>
      <c r="C252" t="s">
        <v>27</v>
      </c>
      <c r="D252" s="2">
        <v>1021</v>
      </c>
      <c r="E252" s="2">
        <v>6170</v>
      </c>
      <c r="F252" t="s">
        <v>7</v>
      </c>
      <c r="G252">
        <v>6299570</v>
      </c>
    </row>
    <row r="253" spans="1:7" x14ac:dyDescent="0.25">
      <c r="A253" s="1">
        <f>+A252</f>
        <v>45626</v>
      </c>
      <c r="C253" t="s">
        <v>32</v>
      </c>
      <c r="D253" s="2">
        <v>10656</v>
      </c>
      <c r="E253" s="2">
        <v>83490</v>
      </c>
      <c r="F253" t="s">
        <v>7</v>
      </c>
      <c r="G253" t="s">
        <v>138</v>
      </c>
    </row>
    <row r="254" spans="1:7" x14ac:dyDescent="0.25">
      <c r="A254" s="1">
        <f t="shared" ref="A254:A266" si="10">+A253</f>
        <v>45626</v>
      </c>
      <c r="C254" t="s">
        <v>148</v>
      </c>
      <c r="D254" s="2">
        <v>6255</v>
      </c>
      <c r="E254" s="2">
        <v>2275</v>
      </c>
      <c r="F254" t="s">
        <v>7</v>
      </c>
      <c r="G254">
        <v>14230125</v>
      </c>
    </row>
    <row r="255" spans="1:7" x14ac:dyDescent="0.25">
      <c r="A255" s="1">
        <f t="shared" si="10"/>
        <v>45626</v>
      </c>
      <c r="C255" t="s">
        <v>76</v>
      </c>
      <c r="D255" s="2">
        <v>3945</v>
      </c>
      <c r="E255" s="2">
        <v>4155</v>
      </c>
      <c r="F255" t="s">
        <v>7</v>
      </c>
      <c r="G255">
        <v>16391475</v>
      </c>
    </row>
    <row r="256" spans="1:7" x14ac:dyDescent="0.25">
      <c r="A256" s="1">
        <f t="shared" si="10"/>
        <v>45626</v>
      </c>
      <c r="C256" t="s">
        <v>44</v>
      </c>
      <c r="D256" s="2">
        <v>855</v>
      </c>
      <c r="E256" s="2">
        <v>20000</v>
      </c>
      <c r="F256" t="s">
        <v>7</v>
      </c>
      <c r="G256">
        <v>17100000</v>
      </c>
    </row>
    <row r="257" spans="1:7" x14ac:dyDescent="0.25">
      <c r="A257" s="1">
        <f t="shared" si="10"/>
        <v>45626</v>
      </c>
      <c r="C257" t="s">
        <v>39</v>
      </c>
      <c r="D257" s="2">
        <v>386</v>
      </c>
      <c r="E257" s="2">
        <v>45175</v>
      </c>
      <c r="F257" t="s">
        <v>7</v>
      </c>
      <c r="G257">
        <v>17437550</v>
      </c>
    </row>
    <row r="258" spans="1:7" x14ac:dyDescent="0.25">
      <c r="A258" s="1">
        <f t="shared" si="10"/>
        <v>45626</v>
      </c>
      <c r="C258" t="s">
        <v>43</v>
      </c>
      <c r="D258" s="2">
        <v>1047</v>
      </c>
      <c r="E258" s="2">
        <v>18450</v>
      </c>
      <c r="F258" t="s">
        <v>7</v>
      </c>
      <c r="G258">
        <v>19317150</v>
      </c>
    </row>
    <row r="259" spans="1:7" x14ac:dyDescent="0.25">
      <c r="A259" s="1">
        <f t="shared" si="10"/>
        <v>45626</v>
      </c>
      <c r="C259" t="s">
        <v>71</v>
      </c>
      <c r="D259" s="2">
        <v>6370</v>
      </c>
      <c r="E259" s="2">
        <v>3855</v>
      </c>
      <c r="F259" t="s">
        <v>7</v>
      </c>
      <c r="G259">
        <v>24556350</v>
      </c>
    </row>
    <row r="260" spans="1:7" x14ac:dyDescent="0.25">
      <c r="A260" s="1">
        <f t="shared" si="10"/>
        <v>45626</v>
      </c>
      <c r="C260" t="s">
        <v>117</v>
      </c>
      <c r="D260" s="2">
        <v>13124</v>
      </c>
      <c r="E260" s="2">
        <v>2160</v>
      </c>
      <c r="F260" t="s">
        <v>7</v>
      </c>
      <c r="G260">
        <v>28347840</v>
      </c>
    </row>
    <row r="261" spans="1:7" x14ac:dyDescent="0.25">
      <c r="A261" s="1">
        <f t="shared" si="10"/>
        <v>45626</v>
      </c>
      <c r="C261" t="s">
        <v>49</v>
      </c>
      <c r="D261" s="2">
        <v>49361</v>
      </c>
      <c r="E261" s="2">
        <v>76390</v>
      </c>
      <c r="F261" t="s">
        <v>7</v>
      </c>
      <c r="G261" t="s">
        <v>139</v>
      </c>
    </row>
    <row r="262" spans="1:7" x14ac:dyDescent="0.25">
      <c r="A262" s="1">
        <f t="shared" si="10"/>
        <v>45626</v>
      </c>
      <c r="C262" t="s">
        <v>85</v>
      </c>
      <c r="D262" s="2">
        <v>51653</v>
      </c>
      <c r="E262" s="2">
        <v>78310</v>
      </c>
      <c r="F262" t="s">
        <v>7</v>
      </c>
      <c r="G262" t="s">
        <v>140</v>
      </c>
    </row>
    <row r="263" spans="1:7" x14ac:dyDescent="0.25">
      <c r="A263" s="1">
        <f t="shared" si="10"/>
        <v>45626</v>
      </c>
      <c r="C263" t="s">
        <v>112</v>
      </c>
      <c r="D263" s="2">
        <v>24281</v>
      </c>
      <c r="E263" s="2">
        <v>1075</v>
      </c>
      <c r="F263" t="s">
        <v>52</v>
      </c>
      <c r="G263">
        <f>+E263*D263</f>
        <v>26102075</v>
      </c>
    </row>
    <row r="264" spans="1:7" x14ac:dyDescent="0.25">
      <c r="A264" s="1">
        <f t="shared" si="10"/>
        <v>45626</v>
      </c>
      <c r="C264" t="s">
        <v>7</v>
      </c>
      <c r="D264" s="2" t="s">
        <v>141</v>
      </c>
      <c r="E264" s="2">
        <v>1</v>
      </c>
      <c r="F264" t="s">
        <v>7</v>
      </c>
      <c r="G264" t="s">
        <v>141</v>
      </c>
    </row>
    <row r="265" spans="1:7" x14ac:dyDescent="0.25">
      <c r="A265" s="1">
        <f t="shared" si="10"/>
        <v>45626</v>
      </c>
      <c r="C265" t="s">
        <v>2</v>
      </c>
      <c r="D265" s="2" t="s">
        <v>142</v>
      </c>
      <c r="E265" s="2">
        <v>1</v>
      </c>
      <c r="F265" t="s">
        <v>2</v>
      </c>
      <c r="G265" t="s">
        <v>142</v>
      </c>
    </row>
    <row r="266" spans="1:7" x14ac:dyDescent="0.25">
      <c r="A266" s="1">
        <f t="shared" si="10"/>
        <v>45626</v>
      </c>
      <c r="C266" t="s">
        <v>52</v>
      </c>
      <c r="D266" s="2">
        <v>7</v>
      </c>
      <c r="E266" s="2">
        <v>1075</v>
      </c>
      <c r="F266" t="s">
        <v>52</v>
      </c>
      <c r="G266">
        <f>+E266*D266</f>
        <v>7525</v>
      </c>
    </row>
    <row r="267" spans="1:7" x14ac:dyDescent="0.25">
      <c r="A267" s="1">
        <v>45657</v>
      </c>
      <c r="C267" t="s">
        <v>143</v>
      </c>
      <c r="D267" s="2">
        <v>472</v>
      </c>
      <c r="E267" s="2">
        <v>13425</v>
      </c>
      <c r="F267" t="s">
        <v>7</v>
      </c>
      <c r="G267">
        <v>6336600</v>
      </c>
    </row>
    <row r="268" spans="1:7" x14ac:dyDescent="0.25">
      <c r="A268" s="1">
        <f>+A267</f>
        <v>45657</v>
      </c>
      <c r="C268" t="s">
        <v>147</v>
      </c>
      <c r="D268" s="2">
        <v>6255</v>
      </c>
      <c r="E268" s="2">
        <v>2170</v>
      </c>
      <c r="F268" t="s">
        <v>7</v>
      </c>
      <c r="G268">
        <v>13573350</v>
      </c>
    </row>
    <row r="269" spans="1:7" x14ac:dyDescent="0.25">
      <c r="A269" s="1">
        <f t="shared" ref="A269:A280" si="11">+A268</f>
        <v>45657</v>
      </c>
      <c r="C269" t="s">
        <v>76</v>
      </c>
      <c r="D269" s="2">
        <v>3945</v>
      </c>
      <c r="E269" s="2">
        <v>3950</v>
      </c>
      <c r="F269" t="s">
        <v>7</v>
      </c>
      <c r="G269">
        <v>15582750</v>
      </c>
    </row>
    <row r="270" spans="1:7" x14ac:dyDescent="0.25">
      <c r="A270" s="1">
        <f t="shared" si="11"/>
        <v>45657</v>
      </c>
      <c r="C270" t="s">
        <v>43</v>
      </c>
      <c r="D270" s="2">
        <v>1047</v>
      </c>
      <c r="E270" s="2">
        <v>16975</v>
      </c>
      <c r="F270" t="s">
        <v>7</v>
      </c>
      <c r="G270">
        <v>17772825</v>
      </c>
    </row>
    <row r="271" spans="1:7" x14ac:dyDescent="0.25">
      <c r="A271" s="1">
        <f t="shared" si="11"/>
        <v>45657</v>
      </c>
      <c r="C271" t="s">
        <v>44</v>
      </c>
      <c r="D271" s="2">
        <v>855</v>
      </c>
      <c r="E271" s="2">
        <v>21525</v>
      </c>
      <c r="F271" t="s">
        <v>7</v>
      </c>
      <c r="G271">
        <v>18403875</v>
      </c>
    </row>
    <row r="272" spans="1:7" x14ac:dyDescent="0.25">
      <c r="A272" s="1">
        <f t="shared" si="11"/>
        <v>45657</v>
      </c>
      <c r="C272" t="s">
        <v>39</v>
      </c>
      <c r="D272" s="2">
        <v>386</v>
      </c>
      <c r="E272" s="2">
        <v>50300</v>
      </c>
      <c r="F272" t="s">
        <v>7</v>
      </c>
      <c r="G272">
        <v>19415800</v>
      </c>
    </row>
    <row r="273" spans="1:7" x14ac:dyDescent="0.25">
      <c r="A273" s="1">
        <f t="shared" si="11"/>
        <v>45657</v>
      </c>
      <c r="C273" t="s">
        <v>71</v>
      </c>
      <c r="D273" s="2">
        <v>4870</v>
      </c>
      <c r="E273" s="2">
        <v>4165</v>
      </c>
      <c r="F273" t="s">
        <v>7</v>
      </c>
      <c r="G273">
        <v>20283550</v>
      </c>
    </row>
    <row r="274" spans="1:7" x14ac:dyDescent="0.25">
      <c r="A274" s="1">
        <f t="shared" si="11"/>
        <v>45657</v>
      </c>
      <c r="C274" t="s">
        <v>117</v>
      </c>
      <c r="D274" s="2">
        <v>10124</v>
      </c>
      <c r="E274" s="2">
        <v>2540</v>
      </c>
      <c r="F274" t="s">
        <v>7</v>
      </c>
      <c r="G274">
        <v>25714960</v>
      </c>
    </row>
    <row r="275" spans="1:7" x14ac:dyDescent="0.25">
      <c r="A275" s="1">
        <f t="shared" si="11"/>
        <v>45657</v>
      </c>
      <c r="C275" t="s">
        <v>85</v>
      </c>
      <c r="D275" s="2">
        <v>41653</v>
      </c>
      <c r="E275" s="2">
        <v>88870</v>
      </c>
      <c r="F275" t="s">
        <v>7</v>
      </c>
      <c r="G275" t="s">
        <v>144</v>
      </c>
    </row>
    <row r="276" spans="1:7" x14ac:dyDescent="0.25">
      <c r="A276" s="1">
        <f t="shared" si="11"/>
        <v>45657</v>
      </c>
      <c r="C276" t="s">
        <v>49</v>
      </c>
      <c r="D276" s="2">
        <v>57390</v>
      </c>
      <c r="E276" s="2">
        <v>88050</v>
      </c>
      <c r="F276" t="s">
        <v>7</v>
      </c>
      <c r="G276">
        <v>50531895</v>
      </c>
    </row>
    <row r="277" spans="1:7" x14ac:dyDescent="0.25">
      <c r="A277" s="1">
        <f t="shared" si="11"/>
        <v>45657</v>
      </c>
      <c r="C277" t="s">
        <v>112</v>
      </c>
      <c r="D277" s="2">
        <v>4</v>
      </c>
      <c r="E277" s="2">
        <v>1170</v>
      </c>
      <c r="F277" t="s">
        <v>52</v>
      </c>
      <c r="G277">
        <f>+E277*D277</f>
        <v>4680</v>
      </c>
    </row>
    <row r="278" spans="1:7" x14ac:dyDescent="0.25">
      <c r="A278" s="1">
        <f t="shared" si="11"/>
        <v>45657</v>
      </c>
      <c r="C278" t="s">
        <v>7</v>
      </c>
      <c r="D278" s="2" t="s">
        <v>145</v>
      </c>
      <c r="E278" s="2">
        <v>1</v>
      </c>
      <c r="F278" t="s">
        <v>7</v>
      </c>
      <c r="G278" t="s">
        <v>145</v>
      </c>
    </row>
    <row r="279" spans="1:7" x14ac:dyDescent="0.25">
      <c r="A279" s="1">
        <f t="shared" si="11"/>
        <v>45657</v>
      </c>
      <c r="C279" t="s">
        <v>2</v>
      </c>
      <c r="D279" s="2" t="s">
        <v>142</v>
      </c>
      <c r="E279" s="2">
        <v>1</v>
      </c>
      <c r="F279" t="s">
        <v>2</v>
      </c>
      <c r="G279" t="s">
        <v>142</v>
      </c>
    </row>
    <row r="280" spans="1:7" x14ac:dyDescent="0.25">
      <c r="A280" s="1">
        <f t="shared" si="11"/>
        <v>45657</v>
      </c>
      <c r="C280" t="s">
        <v>52</v>
      </c>
      <c r="D280" s="2" t="s">
        <v>146</v>
      </c>
      <c r="E280" s="2">
        <v>1</v>
      </c>
      <c r="F280" t="s">
        <v>52</v>
      </c>
      <c r="G280" t="s">
        <v>146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76585-6CAC-42D2-8FD4-09582218DC62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2025-01-14T21:30:32Z</dcterms:created>
  <dcterms:modified xsi:type="dcterms:W3CDTF">2025-10-03T17:45:19Z</dcterms:modified>
</cp:coreProperties>
</file>