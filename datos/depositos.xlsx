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Mercado-de-Valores\datos\"/>
    </mc:Choice>
  </mc:AlternateContent>
  <xr:revisionPtr revIDLastSave="0" documentId="13_ncr:1_{ECB99AF9-A629-45A3-9F0C-49998B53FE4F}" xr6:coauthVersionLast="45" xr6:coauthVersionMax="45" xr10:uidLastSave="{00000000-0000-0000-0000-000000000000}"/>
  <bookViews>
    <workbookView xWindow="-120" yWindow="-120" windowWidth="20730" windowHeight="11160" activeTab="2" xr2:uid="{ED4DFA87-8014-4EA1-8181-ABD5C82B1EDE}"/>
  </bookViews>
  <sheets>
    <sheet name="depositos" sheetId="1" r:id="rId1"/>
    <sheet name="movimientos" sheetId="2" r:id="rId2"/>
    <sheet name="tir" sheetId="13" r:id="rId3"/>
    <sheet name="Hoja1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4" i="13" l="1"/>
  <c r="C31" i="13"/>
  <c r="A25" i="13"/>
  <c r="A17" i="13"/>
  <c r="C15" i="13"/>
  <c r="A14" i="13"/>
  <c r="D42" i="3"/>
  <c r="E42" i="3" s="1"/>
  <c r="E17" i="3"/>
  <c r="D58" i="3"/>
  <c r="E58" i="3" s="1"/>
  <c r="D54" i="3"/>
  <c r="E54" i="3" s="1"/>
  <c r="E25" i="3"/>
  <c r="E30" i="3"/>
  <c r="E32" i="3"/>
  <c r="E36" i="3"/>
  <c r="E47" i="3"/>
  <c r="E49" i="3"/>
  <c r="E64" i="3"/>
  <c r="E14" i="3"/>
  <c r="D14" i="3"/>
  <c r="D17" i="3"/>
  <c r="D25" i="3"/>
  <c r="D30" i="3"/>
  <c r="D32" i="3"/>
  <c r="D36" i="3"/>
  <c r="D47" i="3"/>
  <c r="D49" i="3"/>
  <c r="D64" i="3"/>
  <c r="A64" i="3"/>
  <c r="C31" i="3"/>
  <c r="C15" i="3"/>
  <c r="A25" i="3"/>
  <c r="A17" i="3"/>
  <c r="A14" i="3"/>
</calcChain>
</file>

<file path=xl/sharedStrings.xml><?xml version="1.0" encoding="utf-8"?>
<sst xmlns="http://schemas.openxmlformats.org/spreadsheetml/2006/main" count="178" uniqueCount="6">
  <si>
    <t>fecha</t>
  </si>
  <si>
    <t>importe usd</t>
  </si>
  <si>
    <t>tipo</t>
  </si>
  <si>
    <t>deposito</t>
  </si>
  <si>
    <t>extraccion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</si>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</sst>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0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4A79D-28BE-4B57-BCB6-FFA4D17EA949}">
  <dimension ref="A1:B41"/>
  <sheetViews>
    <sheetView workbookViewId="0">
      <selection activeCell="E14" sqref="E14"/>
    </sheetView>
  </sheetViews>
  <sheetFormatPr baseColWidth="10" defaultRowHeight="15" x14ac:dyDescent="0.25"/>
  <cols>
    <col min="1" max="1" width="11.42578125" style="2"/>
    <col min="2" max="2" width="13.140625" style="1" bestFit="1" customWidth="1"/>
  </cols>
  <sheetData>
    <row r="1" spans="1:2" x14ac:dyDescent="0.25">
      <c r="A1" s="2" t="s">
        <v>0</v>
      </c>
      <c r="B1" s="1" t="s">
        <v>1</v>
      </c>
    </row>
    <row r="2" spans="1:2" x14ac:dyDescent="0.25">
      <c r="A2" s="2">
        <v>45303</v>
      </c>
      <c r="B2" s="1">
        <v>5446.4285714285716</v>
      </c>
    </row>
    <row r="3" spans="1:2" x14ac:dyDescent="0.25">
      <c r="A3" s="2">
        <v>45306</v>
      </c>
      <c r="B3" s="1">
        <v>5220.869565217391</v>
      </c>
    </row>
    <row r="4" spans="1:2" x14ac:dyDescent="0.25">
      <c r="A4" s="2">
        <v>45307</v>
      </c>
      <c r="B4" s="1">
        <v>4237.2881355932204</v>
      </c>
    </row>
    <row r="5" spans="1:2" x14ac:dyDescent="0.25">
      <c r="A5" s="2">
        <v>45308</v>
      </c>
      <c r="B5" s="1">
        <v>4878.0487804878048</v>
      </c>
    </row>
    <row r="6" spans="1:2" x14ac:dyDescent="0.25">
      <c r="A6" s="2">
        <v>45309</v>
      </c>
      <c r="B6" s="1">
        <v>4838.7096774193551</v>
      </c>
    </row>
    <row r="7" spans="1:2" x14ac:dyDescent="0.25">
      <c r="A7" s="2">
        <v>45310</v>
      </c>
      <c r="B7" s="1">
        <v>4918.0327868852455</v>
      </c>
    </row>
    <row r="8" spans="1:2" x14ac:dyDescent="0.25">
      <c r="A8" s="2">
        <v>45313</v>
      </c>
      <c r="B8" s="1">
        <v>9311.7408906882592</v>
      </c>
    </row>
    <row r="9" spans="1:2" x14ac:dyDescent="0.25">
      <c r="A9" s="2">
        <v>45314</v>
      </c>
      <c r="B9" s="1">
        <v>3187.2509960159364</v>
      </c>
    </row>
    <row r="10" spans="1:2" x14ac:dyDescent="0.25">
      <c r="A10" s="2">
        <v>45315</v>
      </c>
      <c r="B10" s="1">
        <v>2788.8446215139443</v>
      </c>
    </row>
    <row r="11" spans="1:2" x14ac:dyDescent="0.25">
      <c r="A11" s="2">
        <v>45316</v>
      </c>
      <c r="B11" s="1">
        <v>1606.4257028112449</v>
      </c>
    </row>
    <row r="12" spans="1:2" x14ac:dyDescent="0.25">
      <c r="A12" s="2">
        <v>45320</v>
      </c>
      <c r="B12" s="1">
        <v>4081.6326530612246</v>
      </c>
    </row>
    <row r="13" spans="1:2" x14ac:dyDescent="0.25">
      <c r="A13" s="2">
        <v>45321</v>
      </c>
      <c r="B13" s="1">
        <v>3292.1810699588477</v>
      </c>
    </row>
    <row r="14" spans="1:2" x14ac:dyDescent="0.25">
      <c r="A14" s="2">
        <v>45345</v>
      </c>
      <c r="B14" s="1">
        <v>5529.9539170506914</v>
      </c>
    </row>
    <row r="15" spans="1:2" x14ac:dyDescent="0.25">
      <c r="A15" s="2">
        <v>45377</v>
      </c>
      <c r="B15" s="1">
        <v>4672.8971962616824</v>
      </c>
    </row>
    <row r="16" spans="1:2" x14ac:dyDescent="0.25">
      <c r="A16" s="2">
        <v>45355</v>
      </c>
      <c r="B16" s="1">
        <v>4926.1083743842364</v>
      </c>
    </row>
    <row r="17" spans="1:2" x14ac:dyDescent="0.25">
      <c r="A17" s="2">
        <v>45356</v>
      </c>
      <c r="B17" s="1">
        <v>5940.5940594059402</v>
      </c>
    </row>
    <row r="18" spans="1:2" x14ac:dyDescent="0.25">
      <c r="A18" s="2">
        <v>45373</v>
      </c>
      <c r="B18" s="1">
        <v>5882.3529411764703</v>
      </c>
    </row>
    <row r="19" spans="1:2" x14ac:dyDescent="0.25">
      <c r="A19" s="2">
        <v>45376</v>
      </c>
      <c r="B19" s="1">
        <v>4901.9607843137255</v>
      </c>
    </row>
    <row r="20" spans="1:2" x14ac:dyDescent="0.25">
      <c r="A20" s="2">
        <v>45377</v>
      </c>
      <c r="B20" s="1">
        <v>2970.2970297029701</v>
      </c>
    </row>
    <row r="21" spans="1:2" x14ac:dyDescent="0.25">
      <c r="A21" s="2">
        <v>45390</v>
      </c>
      <c r="B21" s="1">
        <v>6091.3705583756346</v>
      </c>
    </row>
    <row r="22" spans="1:2" x14ac:dyDescent="0.25">
      <c r="A22" s="2">
        <v>45398</v>
      </c>
      <c r="B22" s="1">
        <v>4830.9178743961356</v>
      </c>
    </row>
    <row r="23" spans="1:2" x14ac:dyDescent="0.25">
      <c r="A23" s="2">
        <v>45406</v>
      </c>
      <c r="B23" s="1">
        <v>5797.101449275362</v>
      </c>
    </row>
    <row r="24" spans="1:2" x14ac:dyDescent="0.25">
      <c r="A24" s="2">
        <v>45467</v>
      </c>
      <c r="B24" s="1">
        <v>3759.3984962406016</v>
      </c>
    </row>
    <row r="25" spans="1:2" x14ac:dyDescent="0.25">
      <c r="A25" s="2">
        <v>45468</v>
      </c>
      <c r="B25" s="1">
        <v>3690.0369003690039</v>
      </c>
    </row>
    <row r="26" spans="1:2" x14ac:dyDescent="0.25">
      <c r="A26" s="2">
        <v>45489</v>
      </c>
      <c r="B26" s="1">
        <v>4285.7142857142853</v>
      </c>
    </row>
    <row r="27" spans="1:2" x14ac:dyDescent="0.25">
      <c r="A27" s="2">
        <v>45490</v>
      </c>
      <c r="B27" s="1">
        <v>4123.7113402061859</v>
      </c>
    </row>
    <row r="28" spans="1:2" x14ac:dyDescent="0.25">
      <c r="A28" s="2">
        <v>45491</v>
      </c>
      <c r="B28" s="1">
        <v>4123.7113402061859</v>
      </c>
    </row>
    <row r="29" spans="1:2" x14ac:dyDescent="0.25">
      <c r="A29" s="2">
        <v>45492</v>
      </c>
      <c r="B29" s="1">
        <v>4152.249134948097</v>
      </c>
    </row>
    <row r="30" spans="1:2" x14ac:dyDescent="0.25">
      <c r="A30" s="2">
        <v>45518</v>
      </c>
      <c r="B30" s="1">
        <v>4428.0442804428048</v>
      </c>
    </row>
    <row r="31" spans="1:2" x14ac:dyDescent="0.25">
      <c r="A31" s="2">
        <v>45520</v>
      </c>
      <c r="B31" s="1">
        <v>4460.966542750929</v>
      </c>
    </row>
    <row r="32" spans="1:2" x14ac:dyDescent="0.25">
      <c r="A32" s="2">
        <v>45523</v>
      </c>
      <c r="B32" s="1">
        <v>4444.4444444444443</v>
      </c>
    </row>
    <row r="33" spans="1:2" x14ac:dyDescent="0.25">
      <c r="A33" s="2">
        <v>45575</v>
      </c>
      <c r="B33" s="1">
        <v>-8530</v>
      </c>
    </row>
    <row r="34" spans="1:2" x14ac:dyDescent="0.25">
      <c r="A34" s="2">
        <v>45586</v>
      </c>
      <c r="B34" s="1">
        <v>-3418.8034188034189</v>
      </c>
    </row>
    <row r="35" spans="1:2" x14ac:dyDescent="0.25">
      <c r="A35" s="2">
        <v>45593</v>
      </c>
      <c r="B35" s="1">
        <v>4897.9591836734689</v>
      </c>
    </row>
    <row r="36" spans="1:2" x14ac:dyDescent="0.25">
      <c r="A36" s="2">
        <v>45610</v>
      </c>
      <c r="B36" s="1">
        <v>5263.1578947368425</v>
      </c>
    </row>
    <row r="37" spans="1:2" x14ac:dyDescent="0.25">
      <c r="A37" s="2">
        <v>45611</v>
      </c>
      <c r="B37" s="1">
        <v>5263.1578947368425</v>
      </c>
    </row>
    <row r="38" spans="1:2" x14ac:dyDescent="0.25">
      <c r="A38" s="2">
        <v>45652</v>
      </c>
      <c r="B38" s="1">
        <v>-6841.9076923076927</v>
      </c>
    </row>
    <row r="39" spans="1:2" x14ac:dyDescent="0.25">
      <c r="A39" s="2">
        <v>45652</v>
      </c>
      <c r="B39" s="1">
        <v>-31657.444444444445</v>
      </c>
    </row>
    <row r="40" spans="1:2" x14ac:dyDescent="0.25">
      <c r="A40" s="2">
        <v>45656</v>
      </c>
      <c r="B40" s="1">
        <v>-4052.5819256756758</v>
      </c>
    </row>
    <row r="41" spans="1:2" x14ac:dyDescent="0.25">
      <c r="A41" s="2">
        <v>45656</v>
      </c>
      <c r="B41" s="1">
        <v>-5333.614864864865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DE3E-2773-4ED4-AA32-5604CC3423AA}">
  <dimension ref="A1:C43"/>
  <sheetViews>
    <sheetView topLeftCell="A25" workbookViewId="0">
      <selection sqref="A1:C1"/>
    </sheetView>
  </sheetViews>
  <sheetFormatPr baseColWidth="10" defaultRowHeight="15" x14ac:dyDescent="0.25"/>
  <cols>
    <col min="1" max="1" width="11.42578125" style="2"/>
    <col min="3" max="3" width="11.42578125" style="3"/>
  </cols>
  <sheetData>
    <row r="1" spans="1:3" x14ac:dyDescent="0.25">
      <c r="A1" s="2" t="s">
        <v>0</v>
      </c>
      <c r="B1" t="s">
        <v>2</v>
      </c>
      <c r="C1" s="3" t="s">
        <v>1</v>
      </c>
    </row>
    <row r="2" spans="1:3" x14ac:dyDescent="0.25">
      <c r="A2" s="2">
        <v>45303</v>
      </c>
      <c r="B2" t="s">
        <v>3</v>
      </c>
      <c r="C2">
        <v>-5446.4285714285716</v>
      </c>
    </row>
    <row r="3" spans="1:3" x14ac:dyDescent="0.25">
      <c r="A3" s="2">
        <v>45306</v>
      </c>
      <c r="B3" t="s">
        <v>3</v>
      </c>
      <c r="C3">
        <v>-5220.869565217391</v>
      </c>
    </row>
    <row r="4" spans="1:3" x14ac:dyDescent="0.25">
      <c r="A4" s="2">
        <v>45307</v>
      </c>
      <c r="B4" t="s">
        <v>3</v>
      </c>
      <c r="C4">
        <v>-4237.2881355932204</v>
      </c>
    </row>
    <row r="5" spans="1:3" x14ac:dyDescent="0.25">
      <c r="A5" s="2">
        <v>45308</v>
      </c>
      <c r="B5" t="s">
        <v>3</v>
      </c>
      <c r="C5">
        <v>-4878.0487804878048</v>
      </c>
    </row>
    <row r="6" spans="1:3" x14ac:dyDescent="0.25">
      <c r="A6" s="2">
        <v>45309</v>
      </c>
      <c r="B6" t="s">
        <v>3</v>
      </c>
      <c r="C6">
        <v>-4838.7096774193551</v>
      </c>
    </row>
    <row r="7" spans="1:3" x14ac:dyDescent="0.25">
      <c r="A7" s="2">
        <v>45310</v>
      </c>
      <c r="B7" t="s">
        <v>3</v>
      </c>
      <c r="C7">
        <v>-4918.0327868852455</v>
      </c>
    </row>
    <row r="8" spans="1:3" x14ac:dyDescent="0.25">
      <c r="A8" s="2">
        <v>45313</v>
      </c>
      <c r="B8" t="s">
        <v>3</v>
      </c>
      <c r="C8">
        <v>-9311.7408906882592</v>
      </c>
    </row>
    <row r="9" spans="1:3" x14ac:dyDescent="0.25">
      <c r="A9" s="2">
        <v>45314</v>
      </c>
      <c r="B9" t="s">
        <v>3</v>
      </c>
      <c r="C9">
        <v>-3187.2509960159364</v>
      </c>
    </row>
    <row r="10" spans="1:3" x14ac:dyDescent="0.25">
      <c r="A10" s="2">
        <v>45315</v>
      </c>
      <c r="B10" t="s">
        <v>3</v>
      </c>
      <c r="C10">
        <v>-2788.8446215139443</v>
      </c>
    </row>
    <row r="11" spans="1:3" x14ac:dyDescent="0.25">
      <c r="A11" s="2">
        <v>45316</v>
      </c>
      <c r="B11" t="s">
        <v>3</v>
      </c>
      <c r="C11">
        <v>-1606.4257028112449</v>
      </c>
    </row>
    <row r="12" spans="1:3" x14ac:dyDescent="0.25">
      <c r="A12" s="2">
        <v>45320</v>
      </c>
      <c r="B12" t="s">
        <v>3</v>
      </c>
      <c r="C12">
        <v>-4081.6326530612246</v>
      </c>
    </row>
    <row r="13" spans="1:3" x14ac:dyDescent="0.25">
      <c r="A13" s="2">
        <v>45321</v>
      </c>
      <c r="B13" t="s">
        <v>3</v>
      </c>
      <c r="C13">
        <v>-3292.1810699588477</v>
      </c>
    </row>
    <row r="14" spans="1:3" x14ac:dyDescent="0.25">
      <c r="A14" s="2">
        <v>45345</v>
      </c>
      <c r="B14" t="s">
        <v>3</v>
      </c>
      <c r="C14">
        <v>-5529.9539170506914</v>
      </c>
    </row>
    <row r="15" spans="1:3" x14ac:dyDescent="0.25">
      <c r="A15" s="2">
        <v>45377</v>
      </c>
      <c r="B15" t="s">
        <v>3</v>
      </c>
      <c r="C15">
        <v>-4672.8971962616824</v>
      </c>
    </row>
    <row r="16" spans="1:3" x14ac:dyDescent="0.25">
      <c r="A16" s="2">
        <v>45355</v>
      </c>
      <c r="B16" t="s">
        <v>3</v>
      </c>
      <c r="C16">
        <v>-4926.1083743842364</v>
      </c>
    </row>
    <row r="17" spans="1:3" x14ac:dyDescent="0.25">
      <c r="A17" s="2">
        <v>45356</v>
      </c>
      <c r="B17" t="s">
        <v>3</v>
      </c>
      <c r="C17">
        <v>-5940.5940594059402</v>
      </c>
    </row>
    <row r="18" spans="1:3" x14ac:dyDescent="0.25">
      <c r="A18" s="2">
        <v>45373</v>
      </c>
      <c r="B18" t="s">
        <v>3</v>
      </c>
      <c r="C18">
        <v>-5882.3529411764703</v>
      </c>
    </row>
    <row r="19" spans="1:3" x14ac:dyDescent="0.25">
      <c r="A19" s="2">
        <v>45376</v>
      </c>
      <c r="B19" t="s">
        <v>3</v>
      </c>
      <c r="C19">
        <v>-4901.9607843137255</v>
      </c>
    </row>
    <row r="20" spans="1:3" x14ac:dyDescent="0.25">
      <c r="A20" s="2">
        <v>45377</v>
      </c>
      <c r="B20" t="s">
        <v>3</v>
      </c>
      <c r="C20">
        <v>-2970.2970297029701</v>
      </c>
    </row>
    <row r="21" spans="1:3" x14ac:dyDescent="0.25">
      <c r="A21" s="2">
        <v>45390</v>
      </c>
      <c r="B21" t="s">
        <v>3</v>
      </c>
      <c r="C21">
        <v>-6091.3705583756346</v>
      </c>
    </row>
    <row r="22" spans="1:3" x14ac:dyDescent="0.25">
      <c r="A22" s="2">
        <v>45398</v>
      </c>
      <c r="B22" t="s">
        <v>3</v>
      </c>
      <c r="C22">
        <v>-4830.9178743961356</v>
      </c>
    </row>
    <row r="23" spans="1:3" x14ac:dyDescent="0.25">
      <c r="A23" s="2">
        <v>45406</v>
      </c>
      <c r="B23" t="s">
        <v>3</v>
      </c>
      <c r="C23">
        <v>-5797.101449275362</v>
      </c>
    </row>
    <row r="24" spans="1:3" x14ac:dyDescent="0.25">
      <c r="A24" s="2">
        <v>45467</v>
      </c>
      <c r="B24" t="s">
        <v>3</v>
      </c>
      <c r="C24">
        <v>-3759.3984962406016</v>
      </c>
    </row>
    <row r="25" spans="1:3" x14ac:dyDescent="0.25">
      <c r="A25" s="2">
        <v>45468</v>
      </c>
      <c r="B25" t="s">
        <v>3</v>
      </c>
      <c r="C25">
        <v>-3690.0369003690039</v>
      </c>
    </row>
    <row r="26" spans="1:3" x14ac:dyDescent="0.25">
      <c r="A26" s="2">
        <v>45489</v>
      </c>
      <c r="B26" t="s">
        <v>3</v>
      </c>
      <c r="C26">
        <v>-4285.7142857142853</v>
      </c>
    </row>
    <row r="27" spans="1:3" x14ac:dyDescent="0.25">
      <c r="A27" s="2">
        <v>45490</v>
      </c>
      <c r="B27" t="s">
        <v>3</v>
      </c>
      <c r="C27">
        <v>-4123.7113402061859</v>
      </c>
    </row>
    <row r="28" spans="1:3" x14ac:dyDescent="0.25">
      <c r="A28" s="2">
        <v>45491</v>
      </c>
      <c r="B28" t="s">
        <v>3</v>
      </c>
      <c r="C28">
        <v>-4123.7113402061859</v>
      </c>
    </row>
    <row r="29" spans="1:3" x14ac:dyDescent="0.25">
      <c r="A29" s="2">
        <v>45492</v>
      </c>
      <c r="B29" t="s">
        <v>3</v>
      </c>
      <c r="C29">
        <v>-4152.249134948097</v>
      </c>
    </row>
    <row r="30" spans="1:3" x14ac:dyDescent="0.25">
      <c r="A30" s="2">
        <v>45518</v>
      </c>
      <c r="B30" t="s">
        <v>3</v>
      </c>
      <c r="C30">
        <v>-4428.0442804428048</v>
      </c>
    </row>
    <row r="31" spans="1:3" x14ac:dyDescent="0.25">
      <c r="A31" s="2">
        <v>45520</v>
      </c>
      <c r="B31" t="s">
        <v>3</v>
      </c>
      <c r="C31">
        <v>-4460.966542750929</v>
      </c>
    </row>
    <row r="32" spans="1:3" x14ac:dyDescent="0.25">
      <c r="A32" s="2">
        <v>45523</v>
      </c>
      <c r="B32" t="s">
        <v>3</v>
      </c>
      <c r="C32">
        <v>-4444.4444444444443</v>
      </c>
    </row>
    <row r="33" spans="1:3" x14ac:dyDescent="0.25">
      <c r="A33" s="2">
        <v>45575</v>
      </c>
      <c r="B33" t="s">
        <v>4</v>
      </c>
      <c r="C33">
        <v>8530</v>
      </c>
    </row>
    <row r="34" spans="1:3" x14ac:dyDescent="0.25">
      <c r="A34" s="2">
        <v>45586</v>
      </c>
      <c r="B34" t="s">
        <v>4</v>
      </c>
      <c r="C34">
        <v>3418.8034188034189</v>
      </c>
    </row>
    <row r="35" spans="1:3" x14ac:dyDescent="0.25">
      <c r="A35" s="2">
        <v>45593</v>
      </c>
      <c r="B35" t="s">
        <v>3</v>
      </c>
      <c r="C35">
        <v>-4897.9591836734689</v>
      </c>
    </row>
    <row r="36" spans="1:3" x14ac:dyDescent="0.25">
      <c r="A36" s="2">
        <v>45610</v>
      </c>
      <c r="B36" t="s">
        <v>3</v>
      </c>
      <c r="C36">
        <v>-5263.1578947368425</v>
      </c>
    </row>
    <row r="37" spans="1:3" x14ac:dyDescent="0.25">
      <c r="A37" s="2">
        <v>45611</v>
      </c>
      <c r="B37" t="s">
        <v>3</v>
      </c>
      <c r="C37">
        <v>-5263.1578947368425</v>
      </c>
    </row>
    <row r="38" spans="1:3" x14ac:dyDescent="0.25">
      <c r="A38" s="2">
        <v>45652</v>
      </c>
      <c r="B38" t="s">
        <v>4</v>
      </c>
      <c r="C38">
        <v>6841.9076923076927</v>
      </c>
    </row>
    <row r="39" spans="1:3" x14ac:dyDescent="0.25">
      <c r="A39" s="2">
        <v>45652</v>
      </c>
      <c r="B39" t="s">
        <v>4</v>
      </c>
      <c r="C39">
        <v>31657.444444444445</v>
      </c>
    </row>
    <row r="40" spans="1:3" x14ac:dyDescent="0.25">
      <c r="A40" s="2">
        <v>45656</v>
      </c>
      <c r="B40" t="s">
        <v>4</v>
      </c>
      <c r="C40">
        <v>4052.5819256756758</v>
      </c>
    </row>
    <row r="41" spans="1:3" x14ac:dyDescent="0.25">
      <c r="A41" s="2">
        <v>45656</v>
      </c>
      <c r="B41" t="s">
        <v>4</v>
      </c>
      <c r="C41">
        <v>5333.614864864865</v>
      </c>
    </row>
    <row r="42" spans="1:3" x14ac:dyDescent="0.25">
      <c r="A42" s="2">
        <v>45657</v>
      </c>
      <c r="B42" t="s">
        <v>5</v>
      </c>
      <c r="C42">
        <v>191179.05405405405</v>
      </c>
    </row>
    <row r="43" spans="1:3" x14ac:dyDescent="0.25">
      <c r="C4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A962B-7CC8-43D0-8B3B-E7A0AAE966B2}">
  <dimension ref="A1:E64"/>
  <sheetViews>
    <sheetView tabSelected="1" workbookViewId="0">
      <selection activeCell="F44" sqref="F44"/>
    </sheetView>
  </sheetViews>
  <sheetFormatPr baseColWidth="10" defaultRowHeight="15" x14ac:dyDescent="0.25"/>
  <cols>
    <col min="1" max="1" width="11.42578125" style="2"/>
    <col min="4" max="4" width="12" bestFit="1" customWidth="1"/>
    <col min="5" max="5" width="12" style="5" bestFit="1" customWidth="1"/>
  </cols>
  <sheetData>
    <row r="1" spans="1:3" x14ac:dyDescent="0.25">
      <c r="A1" s="2" t="s">
        <v>0</v>
      </c>
      <c r="B1" t="s">
        <v>2</v>
      </c>
      <c r="C1" s="3" t="s">
        <v>1</v>
      </c>
    </row>
    <row r="2" spans="1:3" x14ac:dyDescent="0.25">
      <c r="A2" s="2">
        <v>45303</v>
      </c>
      <c r="B2" t="s">
        <v>3</v>
      </c>
      <c r="C2">
        <v>-5446.4285714285716</v>
      </c>
    </row>
    <row r="3" spans="1:3" x14ac:dyDescent="0.25">
      <c r="A3" s="2">
        <v>45306</v>
      </c>
      <c r="B3" t="s">
        <v>3</v>
      </c>
      <c r="C3">
        <v>-5220.869565217391</v>
      </c>
    </row>
    <row r="4" spans="1:3" x14ac:dyDescent="0.25">
      <c r="A4" s="2">
        <v>45307</v>
      </c>
      <c r="B4" t="s">
        <v>3</v>
      </c>
      <c r="C4">
        <v>-4237.2881355932204</v>
      </c>
    </row>
    <row r="5" spans="1:3" x14ac:dyDescent="0.25">
      <c r="A5" s="2">
        <v>45308</v>
      </c>
      <c r="B5" t="s">
        <v>3</v>
      </c>
      <c r="C5">
        <v>-4878.0487804878048</v>
      </c>
    </row>
    <row r="6" spans="1:3" x14ac:dyDescent="0.25">
      <c r="A6" s="2">
        <v>45309</v>
      </c>
      <c r="B6" t="s">
        <v>3</v>
      </c>
      <c r="C6">
        <v>-4838.7096774193551</v>
      </c>
    </row>
    <row r="7" spans="1:3" x14ac:dyDescent="0.25">
      <c r="A7" s="2">
        <v>45310</v>
      </c>
      <c r="B7" t="s">
        <v>3</v>
      </c>
      <c r="C7">
        <v>-4918.0327868852455</v>
      </c>
    </row>
    <row r="8" spans="1:3" x14ac:dyDescent="0.25">
      <c r="A8" s="2">
        <v>45313</v>
      </c>
      <c r="B8" t="s">
        <v>3</v>
      </c>
      <c r="C8">
        <v>-9311.7408906882592</v>
      </c>
    </row>
    <row r="9" spans="1:3" x14ac:dyDescent="0.25">
      <c r="A9" s="2">
        <v>45314</v>
      </c>
      <c r="B9" t="s">
        <v>3</v>
      </c>
      <c r="C9">
        <v>-3187.2509960159364</v>
      </c>
    </row>
    <row r="10" spans="1:3" x14ac:dyDescent="0.25">
      <c r="A10" s="2">
        <v>45315</v>
      </c>
      <c r="B10" t="s">
        <v>3</v>
      </c>
      <c r="C10">
        <v>-2788.8446215139443</v>
      </c>
    </row>
    <row r="11" spans="1:3" x14ac:dyDescent="0.25">
      <c r="A11" s="2">
        <v>45316</v>
      </c>
      <c r="B11" t="s">
        <v>3</v>
      </c>
      <c r="C11">
        <v>-1606.4257028112449</v>
      </c>
    </row>
    <row r="12" spans="1:3" x14ac:dyDescent="0.25">
      <c r="A12" s="2">
        <v>45320</v>
      </c>
      <c r="B12" t="s">
        <v>3</v>
      </c>
      <c r="C12">
        <v>-4081.6326530612246</v>
      </c>
    </row>
    <row r="13" spans="1:3" x14ac:dyDescent="0.25">
      <c r="A13" s="2">
        <v>45321</v>
      </c>
      <c r="B13" t="s">
        <v>3</v>
      </c>
      <c r="C13">
        <v>-3292.1810699588477</v>
      </c>
    </row>
    <row r="14" spans="1:3" x14ac:dyDescent="0.25">
      <c r="A14" s="2">
        <f>+EOMONTH(A12,0)</f>
        <v>45322</v>
      </c>
      <c r="B14" t="s">
        <v>5</v>
      </c>
      <c r="C14">
        <v>56179</v>
      </c>
    </row>
    <row r="15" spans="1:3" x14ac:dyDescent="0.25">
      <c r="A15" s="2">
        <v>45323</v>
      </c>
      <c r="B15" t="s">
        <v>5</v>
      </c>
      <c r="C15">
        <f>-C14</f>
        <v>-56179</v>
      </c>
    </row>
    <row r="16" spans="1:3" x14ac:dyDescent="0.25">
      <c r="A16" s="2">
        <v>45345</v>
      </c>
      <c r="B16" t="s">
        <v>3</v>
      </c>
      <c r="C16">
        <v>-5529.9539170506914</v>
      </c>
    </row>
    <row r="17" spans="1:3" x14ac:dyDescent="0.25">
      <c r="A17" s="2">
        <f>+EOMONTH(A16,0)</f>
        <v>45351</v>
      </c>
      <c r="B17" t="s">
        <v>5</v>
      </c>
      <c r="C17">
        <v>68269</v>
      </c>
    </row>
    <row r="18" spans="1:3" x14ac:dyDescent="0.25">
      <c r="A18" s="2">
        <v>45352</v>
      </c>
      <c r="B18" t="s">
        <v>5</v>
      </c>
      <c r="C18">
        <v>-68270</v>
      </c>
    </row>
    <row r="19" spans="1:3" x14ac:dyDescent="0.25">
      <c r="A19" s="2">
        <v>45377</v>
      </c>
      <c r="B19" t="s">
        <v>3</v>
      </c>
      <c r="C19">
        <v>-4672.8971962616824</v>
      </c>
    </row>
    <row r="20" spans="1:3" x14ac:dyDescent="0.25">
      <c r="A20" s="2">
        <v>45355</v>
      </c>
      <c r="B20" t="s">
        <v>3</v>
      </c>
      <c r="C20">
        <v>-4926.1083743842364</v>
      </c>
    </row>
    <row r="21" spans="1:3" x14ac:dyDescent="0.25">
      <c r="A21" s="2">
        <v>45356</v>
      </c>
      <c r="B21" t="s">
        <v>3</v>
      </c>
      <c r="C21">
        <v>-5940.5940594059402</v>
      </c>
    </row>
    <row r="22" spans="1:3" x14ac:dyDescent="0.25">
      <c r="A22" s="2">
        <v>45373</v>
      </c>
      <c r="B22" t="s">
        <v>3</v>
      </c>
      <c r="C22">
        <v>-5882.3529411764703</v>
      </c>
    </row>
    <row r="23" spans="1:3" x14ac:dyDescent="0.25">
      <c r="A23" s="2">
        <v>45376</v>
      </c>
      <c r="B23" t="s">
        <v>3</v>
      </c>
      <c r="C23">
        <v>-4901.9607843137255</v>
      </c>
    </row>
    <row r="24" spans="1:3" x14ac:dyDescent="0.25">
      <c r="A24" s="2">
        <v>45377</v>
      </c>
      <c r="B24" t="s">
        <v>3</v>
      </c>
      <c r="C24">
        <v>-2970.2970297029701</v>
      </c>
    </row>
    <row r="25" spans="1:3" x14ac:dyDescent="0.25">
      <c r="A25" s="2">
        <f>+EOMONTH(A24,0)</f>
        <v>45382</v>
      </c>
      <c r="B25" t="s">
        <v>5</v>
      </c>
      <c r="C25">
        <v>102236</v>
      </c>
    </row>
    <row r="26" spans="1:3" x14ac:dyDescent="0.25">
      <c r="A26" s="2">
        <v>45383</v>
      </c>
      <c r="B26" t="s">
        <v>5</v>
      </c>
      <c r="C26">
        <v>-102237</v>
      </c>
    </row>
    <row r="27" spans="1:3" x14ac:dyDescent="0.25">
      <c r="A27" s="2">
        <v>45390</v>
      </c>
      <c r="B27" t="s">
        <v>3</v>
      </c>
      <c r="C27">
        <v>-6091.3705583756346</v>
      </c>
    </row>
    <row r="28" spans="1:3" x14ac:dyDescent="0.25">
      <c r="A28" s="2">
        <v>45398</v>
      </c>
      <c r="B28" t="s">
        <v>3</v>
      </c>
      <c r="C28">
        <v>-4830.9178743961356</v>
      </c>
    </row>
    <row r="29" spans="1:3" x14ac:dyDescent="0.25">
      <c r="A29" s="2">
        <v>45406</v>
      </c>
      <c r="B29" t="s">
        <v>3</v>
      </c>
      <c r="C29">
        <v>-5797.101449275362</v>
      </c>
    </row>
    <row r="30" spans="1:3" x14ac:dyDescent="0.25">
      <c r="A30" s="2">
        <v>45412</v>
      </c>
      <c r="B30" t="s">
        <v>5</v>
      </c>
      <c r="C30">
        <v>123216</v>
      </c>
    </row>
    <row r="31" spans="1:3" x14ac:dyDescent="0.25">
      <c r="A31" s="2">
        <v>45413</v>
      </c>
      <c r="B31" t="s">
        <v>5</v>
      </c>
      <c r="C31">
        <f>+-C30</f>
        <v>-123216</v>
      </c>
    </row>
    <row r="32" spans="1:3" x14ac:dyDescent="0.25">
      <c r="A32" s="2">
        <v>45443</v>
      </c>
      <c r="B32" t="s">
        <v>5</v>
      </c>
      <c r="C32">
        <v>122729</v>
      </c>
    </row>
    <row r="33" spans="1:3" x14ac:dyDescent="0.25">
      <c r="A33" s="2">
        <v>45444</v>
      </c>
      <c r="B33" t="s">
        <v>5</v>
      </c>
      <c r="C33">
        <v>-122730</v>
      </c>
    </row>
    <row r="34" spans="1:3" x14ac:dyDescent="0.25">
      <c r="A34" s="2">
        <v>45467</v>
      </c>
      <c r="B34" t="s">
        <v>3</v>
      </c>
      <c r="C34">
        <v>-3759.3984962406016</v>
      </c>
    </row>
    <row r="35" spans="1:3" x14ac:dyDescent="0.25">
      <c r="A35" s="2">
        <v>45468</v>
      </c>
      <c r="B35" t="s">
        <v>3</v>
      </c>
      <c r="C35">
        <v>-3690.0369003690039</v>
      </c>
    </row>
    <row r="36" spans="1:3" x14ac:dyDescent="0.25">
      <c r="A36" s="2">
        <v>45473</v>
      </c>
      <c r="B36" t="s">
        <v>5</v>
      </c>
      <c r="C36">
        <v>124604</v>
      </c>
    </row>
    <row r="37" spans="1:3" x14ac:dyDescent="0.25">
      <c r="A37" s="2">
        <v>45474</v>
      </c>
      <c r="B37" t="s">
        <v>5</v>
      </c>
      <c r="C37">
        <v>-124605</v>
      </c>
    </row>
    <row r="38" spans="1:3" x14ac:dyDescent="0.25">
      <c r="A38" s="2">
        <v>45489</v>
      </c>
      <c r="B38" t="s">
        <v>3</v>
      </c>
      <c r="C38">
        <v>-4285.7142857142853</v>
      </c>
    </row>
    <row r="39" spans="1:3" x14ac:dyDescent="0.25">
      <c r="A39" s="2">
        <v>45490</v>
      </c>
      <c r="B39" t="s">
        <v>3</v>
      </c>
      <c r="C39">
        <v>-4123.7113402061859</v>
      </c>
    </row>
    <row r="40" spans="1:3" x14ac:dyDescent="0.25">
      <c r="A40" s="2">
        <v>45491</v>
      </c>
      <c r="B40" t="s">
        <v>3</v>
      </c>
      <c r="C40">
        <v>-4123.7113402061859</v>
      </c>
    </row>
    <row r="41" spans="1:3" x14ac:dyDescent="0.25">
      <c r="A41" s="2">
        <v>45492</v>
      </c>
      <c r="B41" t="s">
        <v>3</v>
      </c>
      <c r="C41">
        <v>-4152.249134948097</v>
      </c>
    </row>
    <row r="42" spans="1:3" x14ac:dyDescent="0.25">
      <c r="A42" s="2">
        <v>45504</v>
      </c>
      <c r="B42" t="s">
        <v>5</v>
      </c>
      <c r="C42">
        <v>134994</v>
      </c>
    </row>
    <row r="43" spans="1:3" x14ac:dyDescent="0.25">
      <c r="A43" s="2">
        <v>45505</v>
      </c>
      <c r="B43" t="s">
        <v>5</v>
      </c>
      <c r="C43">
        <v>-134995</v>
      </c>
    </row>
    <row r="44" spans="1:3" x14ac:dyDescent="0.25">
      <c r="A44" s="2">
        <v>45518</v>
      </c>
      <c r="B44" t="s">
        <v>3</v>
      </c>
      <c r="C44">
        <v>-4428.0442804428048</v>
      </c>
    </row>
    <row r="45" spans="1:3" x14ac:dyDescent="0.25">
      <c r="A45" s="2">
        <v>45520</v>
      </c>
      <c r="B45" t="s">
        <v>3</v>
      </c>
      <c r="C45">
        <v>-4460.966542750929</v>
      </c>
    </row>
    <row r="46" spans="1:3" x14ac:dyDescent="0.25">
      <c r="A46" s="2">
        <v>45523</v>
      </c>
      <c r="B46" t="s">
        <v>3</v>
      </c>
      <c r="C46">
        <v>-4444.4444444444443</v>
      </c>
    </row>
    <row r="47" spans="1:3" x14ac:dyDescent="0.25">
      <c r="A47" s="2">
        <v>45534</v>
      </c>
      <c r="B47" t="s">
        <v>5</v>
      </c>
      <c r="C47">
        <v>171836</v>
      </c>
    </row>
    <row r="48" spans="1:3" x14ac:dyDescent="0.25">
      <c r="A48" s="2">
        <v>45536</v>
      </c>
      <c r="B48" t="s">
        <v>5</v>
      </c>
      <c r="C48">
        <v>-171837</v>
      </c>
    </row>
    <row r="49" spans="1:3" x14ac:dyDescent="0.25">
      <c r="A49" s="2">
        <v>45565</v>
      </c>
      <c r="B49" t="s">
        <v>5</v>
      </c>
      <c r="C49">
        <v>179318</v>
      </c>
    </row>
    <row r="50" spans="1:3" x14ac:dyDescent="0.25">
      <c r="A50" s="2">
        <v>45566</v>
      </c>
      <c r="B50" t="s">
        <v>5</v>
      </c>
      <c r="C50">
        <v>-179319</v>
      </c>
    </row>
    <row r="51" spans="1:3" x14ac:dyDescent="0.25">
      <c r="A51" s="2">
        <v>45575</v>
      </c>
      <c r="B51" t="s">
        <v>4</v>
      </c>
      <c r="C51">
        <v>8530</v>
      </c>
    </row>
    <row r="52" spans="1:3" x14ac:dyDescent="0.25">
      <c r="A52" s="2">
        <v>45586</v>
      </c>
      <c r="B52" t="s">
        <v>4</v>
      </c>
      <c r="C52">
        <v>3418.8034188034189</v>
      </c>
    </row>
    <row r="53" spans="1:3" x14ac:dyDescent="0.25">
      <c r="A53" s="2">
        <v>45593</v>
      </c>
      <c r="B53" t="s">
        <v>3</v>
      </c>
      <c r="C53">
        <v>-4897.9591836734689</v>
      </c>
    </row>
    <row r="54" spans="1:3" x14ac:dyDescent="0.25">
      <c r="A54" s="2">
        <v>45596</v>
      </c>
      <c r="B54" t="s">
        <v>5</v>
      </c>
      <c r="C54">
        <v>192066</v>
      </c>
    </row>
    <row r="55" spans="1:3" x14ac:dyDescent="0.25">
      <c r="A55" s="2">
        <v>45597</v>
      </c>
      <c r="B55" t="s">
        <v>5</v>
      </c>
      <c r="C55">
        <v>-192067</v>
      </c>
    </row>
    <row r="56" spans="1:3" x14ac:dyDescent="0.25">
      <c r="A56" s="2">
        <v>45610</v>
      </c>
      <c r="B56" t="s">
        <v>3</v>
      </c>
      <c r="C56">
        <v>-5263.1578947368425</v>
      </c>
    </row>
    <row r="57" spans="1:3" x14ac:dyDescent="0.25">
      <c r="A57" s="2">
        <v>45611</v>
      </c>
      <c r="B57" t="s">
        <v>3</v>
      </c>
      <c r="C57">
        <v>-5263.1578947368425</v>
      </c>
    </row>
    <row r="58" spans="1:3" x14ac:dyDescent="0.25">
      <c r="A58" s="2">
        <v>45626</v>
      </c>
      <c r="B58" t="s">
        <v>5</v>
      </c>
      <c r="C58">
        <v>238731</v>
      </c>
    </row>
    <row r="59" spans="1:3" x14ac:dyDescent="0.25">
      <c r="A59" s="2">
        <v>45627</v>
      </c>
      <c r="B59" t="s">
        <v>5</v>
      </c>
      <c r="C59">
        <v>-238732</v>
      </c>
    </row>
    <row r="60" spans="1:3" x14ac:dyDescent="0.25">
      <c r="A60" s="2">
        <v>45652</v>
      </c>
      <c r="B60" t="s">
        <v>4</v>
      </c>
      <c r="C60">
        <v>6841.9076923076927</v>
      </c>
    </row>
    <row r="61" spans="1:3" x14ac:dyDescent="0.25">
      <c r="A61" s="2">
        <v>45652</v>
      </c>
      <c r="B61" t="s">
        <v>4</v>
      </c>
      <c r="C61">
        <v>31657.444444444445</v>
      </c>
    </row>
    <row r="62" spans="1:3" x14ac:dyDescent="0.25">
      <c r="A62" s="2">
        <v>45656</v>
      </c>
      <c r="B62" t="s">
        <v>4</v>
      </c>
      <c r="C62">
        <v>4052.5819256756758</v>
      </c>
    </row>
    <row r="63" spans="1:3" x14ac:dyDescent="0.25">
      <c r="A63" s="2">
        <v>45656</v>
      </c>
      <c r="B63" t="s">
        <v>4</v>
      </c>
      <c r="C63">
        <v>5333.614864864865</v>
      </c>
    </row>
    <row r="64" spans="1:3" x14ac:dyDescent="0.25">
      <c r="A64" s="2">
        <f>+EOMONTH(A63,12)</f>
        <v>46022</v>
      </c>
      <c r="B64" t="s">
        <v>5</v>
      </c>
      <c r="C64">
        <v>191925.22</v>
      </c>
    </row>
  </sheetData>
  <conditionalFormatting sqref="C1:C31 C34:C1048576">
    <cfRule type="cellIs" dxfId="1" priority="2" operator="greaterThan">
      <formula>0</formula>
    </cfRule>
  </conditionalFormatting>
  <conditionalFormatting sqref="C1:C1048576">
    <cfRule type="cellIs" dxfId="0" priority="1" operator="greaterThan">
      <formula>694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15DA-2447-43CA-A179-192A516B2B4E}">
  <dimension ref="A1:E64"/>
  <sheetViews>
    <sheetView topLeftCell="A28" workbookViewId="0">
      <selection activeCell="F43" sqref="F43"/>
    </sheetView>
  </sheetViews>
  <sheetFormatPr baseColWidth="10" defaultRowHeight="15" x14ac:dyDescent="0.25"/>
  <cols>
    <col min="1" max="1" width="11.42578125" style="2"/>
    <col min="4" max="4" width="12" bestFit="1" customWidth="1"/>
    <col min="5" max="5" width="12" style="5" bestFit="1" customWidth="1"/>
  </cols>
  <sheetData>
    <row r="1" spans="1:5" x14ac:dyDescent="0.25">
      <c r="A1" s="2" t="s">
        <v>0</v>
      </c>
      <c r="B1" t="s">
        <v>2</v>
      </c>
      <c r="C1" s="3" t="s">
        <v>1</v>
      </c>
    </row>
    <row r="2" spans="1:5" x14ac:dyDescent="0.25">
      <c r="A2" s="2">
        <v>45303</v>
      </c>
      <c r="B2" t="s">
        <v>3</v>
      </c>
      <c r="C2">
        <v>-5446.4285714285716</v>
      </c>
    </row>
    <row r="3" spans="1:5" x14ac:dyDescent="0.25">
      <c r="A3" s="2">
        <v>45306</v>
      </c>
      <c r="B3" t="s">
        <v>3</v>
      </c>
      <c r="C3">
        <v>-5220.869565217391</v>
      </c>
    </row>
    <row r="4" spans="1:5" x14ac:dyDescent="0.25">
      <c r="A4" s="2">
        <v>45307</v>
      </c>
      <c r="B4" t="s">
        <v>3</v>
      </c>
      <c r="C4">
        <v>-4237.2881355932204</v>
      </c>
    </row>
    <row r="5" spans="1:5" x14ac:dyDescent="0.25">
      <c r="A5" s="2">
        <v>45308</v>
      </c>
      <c r="B5" t="s">
        <v>3</v>
      </c>
      <c r="C5">
        <v>-4878.0487804878048</v>
      </c>
    </row>
    <row r="6" spans="1:5" x14ac:dyDescent="0.25">
      <c r="A6" s="2">
        <v>45309</v>
      </c>
      <c r="B6" t="s">
        <v>3</v>
      </c>
      <c r="C6">
        <v>-4838.7096774193551</v>
      </c>
    </row>
    <row r="7" spans="1:5" x14ac:dyDescent="0.25">
      <c r="A7" s="2">
        <v>45310</v>
      </c>
      <c r="B7" t="s">
        <v>3</v>
      </c>
      <c r="C7">
        <v>-4918.0327868852455</v>
      </c>
    </row>
    <row r="8" spans="1:5" x14ac:dyDescent="0.25">
      <c r="A8" s="2">
        <v>45313</v>
      </c>
      <c r="B8" t="s">
        <v>3</v>
      </c>
      <c r="C8">
        <v>-9311.7408906882592</v>
      </c>
    </row>
    <row r="9" spans="1:5" x14ac:dyDescent="0.25">
      <c r="A9" s="2">
        <v>45314</v>
      </c>
      <c r="B9" t="s">
        <v>3</v>
      </c>
      <c r="C9">
        <v>-3187.2509960159364</v>
      </c>
    </row>
    <row r="10" spans="1:5" x14ac:dyDescent="0.25">
      <c r="A10" s="2">
        <v>45315</v>
      </c>
      <c r="B10" t="s">
        <v>3</v>
      </c>
      <c r="C10">
        <v>-2788.8446215139443</v>
      </c>
    </row>
    <row r="11" spans="1:5" x14ac:dyDescent="0.25">
      <c r="A11" s="2">
        <v>45316</v>
      </c>
      <c r="B11" t="s">
        <v>3</v>
      </c>
      <c r="C11">
        <v>-1606.4257028112449</v>
      </c>
    </row>
    <row r="12" spans="1:5" x14ac:dyDescent="0.25">
      <c r="A12" s="2">
        <v>45320</v>
      </c>
      <c r="B12" t="s">
        <v>3</v>
      </c>
      <c r="C12">
        <v>-4081.6326530612246</v>
      </c>
    </row>
    <row r="13" spans="1:5" x14ac:dyDescent="0.25">
      <c r="A13" s="2">
        <v>45321</v>
      </c>
      <c r="B13" t="s">
        <v>3</v>
      </c>
      <c r="C13">
        <v>-3292.1810699588477</v>
      </c>
    </row>
    <row r="14" spans="1:5" x14ac:dyDescent="0.25">
      <c r="A14" s="2">
        <f>+EOMONTH(A12,0)</f>
        <v>45322</v>
      </c>
      <c r="B14" t="s">
        <v>5</v>
      </c>
      <c r="C14">
        <v>56179</v>
      </c>
      <c r="D14">
        <f>+XIRR(C2:C14,A2:A14)</f>
        <v>3.1674096345901495</v>
      </c>
      <c r="E14" s="5">
        <f>+(1+D14)^(1/12)-1</f>
        <v>0.12630371334099588</v>
      </c>
    </row>
    <row r="15" spans="1:5" x14ac:dyDescent="0.25">
      <c r="A15" s="2">
        <v>45323</v>
      </c>
      <c r="B15" t="s">
        <v>5</v>
      </c>
      <c r="C15">
        <f>-C14</f>
        <v>-56179</v>
      </c>
    </row>
    <row r="16" spans="1:5" x14ac:dyDescent="0.25">
      <c r="A16" s="2">
        <v>45345</v>
      </c>
      <c r="B16" t="s">
        <v>3</v>
      </c>
      <c r="C16">
        <v>-5529.9539170506914</v>
      </c>
    </row>
    <row r="17" spans="1:5" x14ac:dyDescent="0.25">
      <c r="A17" s="2">
        <f>+EOMONTH(A16,0)</f>
        <v>45351</v>
      </c>
      <c r="B17" t="s">
        <v>5</v>
      </c>
      <c r="C17">
        <v>68269</v>
      </c>
      <c r="D17">
        <f>+XIRR(C15:C17,A15:A17)</f>
        <v>3.1068452596664433</v>
      </c>
      <c r="E17" s="5">
        <f t="shared" ref="E15:E19" si="0">+(1+D17)^(1/12)-1</f>
        <v>0.12493050800607808</v>
      </c>
    </row>
    <row r="18" spans="1:5" x14ac:dyDescent="0.25">
      <c r="A18" s="2">
        <v>45352</v>
      </c>
      <c r="B18" t="s">
        <v>5</v>
      </c>
      <c r="C18">
        <v>-68270</v>
      </c>
    </row>
    <row r="19" spans="1:5" x14ac:dyDescent="0.25">
      <c r="A19" s="2">
        <v>45377</v>
      </c>
      <c r="B19" t="s">
        <v>3</v>
      </c>
      <c r="C19">
        <v>-4672.8971962616824</v>
      </c>
    </row>
    <row r="20" spans="1:5" x14ac:dyDescent="0.25">
      <c r="A20" s="2">
        <v>45355</v>
      </c>
      <c r="B20" t="s">
        <v>3</v>
      </c>
      <c r="C20">
        <v>-4926.1083743842364</v>
      </c>
    </row>
    <row r="21" spans="1:5" x14ac:dyDescent="0.25">
      <c r="A21" s="2">
        <v>45356</v>
      </c>
      <c r="B21" t="s">
        <v>3</v>
      </c>
      <c r="C21">
        <v>-5940.5940594059402</v>
      </c>
    </row>
    <row r="22" spans="1:5" x14ac:dyDescent="0.25">
      <c r="A22" s="2">
        <v>45373</v>
      </c>
      <c r="B22" t="s">
        <v>3</v>
      </c>
      <c r="C22">
        <v>-5882.3529411764703</v>
      </c>
    </row>
    <row r="23" spans="1:5" x14ac:dyDescent="0.25">
      <c r="A23" s="2">
        <v>45376</v>
      </c>
      <c r="B23" t="s">
        <v>3</v>
      </c>
      <c r="C23">
        <v>-4901.9607843137255</v>
      </c>
    </row>
    <row r="24" spans="1:5" x14ac:dyDescent="0.25">
      <c r="A24" s="2">
        <v>45377</v>
      </c>
      <c r="B24" t="s">
        <v>3</v>
      </c>
      <c r="C24">
        <v>-2970.2970297029701</v>
      </c>
    </row>
    <row r="25" spans="1:5" x14ac:dyDescent="0.25">
      <c r="A25" s="2">
        <f>+EOMONTH(A24,0)</f>
        <v>45382</v>
      </c>
      <c r="B25" t="s">
        <v>5</v>
      </c>
      <c r="C25">
        <v>102236</v>
      </c>
      <c r="D25">
        <f>+XIRR(C18:C25,A18:A25)</f>
        <v>0.9662280440330504</v>
      </c>
      <c r="E25" s="5">
        <f t="shared" ref="E15:E64" si="1">+(1+D25)^(1/12)-1</f>
        <v>5.796059091092598E-2</v>
      </c>
    </row>
    <row r="26" spans="1:5" x14ac:dyDescent="0.25">
      <c r="A26" s="2">
        <v>45383</v>
      </c>
      <c r="B26" t="s">
        <v>5</v>
      </c>
      <c r="C26">
        <v>-102237</v>
      </c>
    </row>
    <row r="27" spans="1:5" x14ac:dyDescent="0.25">
      <c r="A27" s="2">
        <v>45390</v>
      </c>
      <c r="B27" t="s">
        <v>3</v>
      </c>
      <c r="C27">
        <v>-6091.3705583756346</v>
      </c>
    </row>
    <row r="28" spans="1:5" x14ac:dyDescent="0.25">
      <c r="A28" s="2">
        <v>45398</v>
      </c>
      <c r="B28" t="s">
        <v>3</v>
      </c>
      <c r="C28">
        <v>-4830.9178743961356</v>
      </c>
    </row>
    <row r="29" spans="1:5" x14ac:dyDescent="0.25">
      <c r="A29" s="2">
        <v>45406</v>
      </c>
      <c r="B29" t="s">
        <v>3</v>
      </c>
      <c r="C29">
        <v>-5797.101449275362</v>
      </c>
    </row>
    <row r="30" spans="1:5" x14ac:dyDescent="0.25">
      <c r="A30" s="2">
        <v>45412</v>
      </c>
      <c r="B30" t="s">
        <v>5</v>
      </c>
      <c r="C30">
        <v>123216</v>
      </c>
      <c r="D30">
        <f>+XIRR(C26:C30,A26:A30)</f>
        <v>0.61089757084846497</v>
      </c>
      <c r="E30" s="5">
        <f t="shared" si="1"/>
        <v>4.0532526439120309E-2</v>
      </c>
    </row>
    <row r="31" spans="1:5" x14ac:dyDescent="0.25">
      <c r="A31" s="2">
        <v>45413</v>
      </c>
      <c r="B31" t="s">
        <v>5</v>
      </c>
      <c r="C31">
        <f>+-C30</f>
        <v>-123216</v>
      </c>
    </row>
    <row r="32" spans="1:5" x14ac:dyDescent="0.25">
      <c r="A32" s="2">
        <v>45443</v>
      </c>
      <c r="B32" t="s">
        <v>5</v>
      </c>
      <c r="C32">
        <v>122729</v>
      </c>
      <c r="D32">
        <f>+XIRR(C31:C32,A31:A32)</f>
        <v>-4.704054892063142E-2</v>
      </c>
      <c r="E32" s="5">
        <f t="shared" si="1"/>
        <v>-4.0071934323566705E-3</v>
      </c>
    </row>
    <row r="33" spans="1:5" x14ac:dyDescent="0.25">
      <c r="A33" s="2">
        <v>45444</v>
      </c>
      <c r="B33" t="s">
        <v>5</v>
      </c>
      <c r="C33">
        <v>-122730</v>
      </c>
    </row>
    <row r="34" spans="1:5" x14ac:dyDescent="0.25">
      <c r="A34" s="2">
        <v>45467</v>
      </c>
      <c r="B34" t="s">
        <v>3</v>
      </c>
      <c r="C34">
        <v>-3759.3984962406016</v>
      </c>
    </row>
    <row r="35" spans="1:5" x14ac:dyDescent="0.25">
      <c r="A35" s="2">
        <v>45468</v>
      </c>
      <c r="B35" t="s">
        <v>3</v>
      </c>
      <c r="C35">
        <v>-3690.0369003690039</v>
      </c>
    </row>
    <row r="36" spans="1:5" x14ac:dyDescent="0.25">
      <c r="A36" s="2">
        <v>45473</v>
      </c>
      <c r="B36" t="s">
        <v>5</v>
      </c>
      <c r="C36">
        <v>124604</v>
      </c>
      <c r="D36">
        <f>+XIRR(C33:C36,A33:A36)</f>
        <v>-0.43910424932837494</v>
      </c>
      <c r="E36" s="5">
        <f t="shared" si="1"/>
        <v>-4.7042543708018414E-2</v>
      </c>
    </row>
    <row r="37" spans="1:5" x14ac:dyDescent="0.25">
      <c r="A37" s="2">
        <v>45474</v>
      </c>
      <c r="B37" t="s">
        <v>5</v>
      </c>
      <c r="C37">
        <v>-124605</v>
      </c>
    </row>
    <row r="38" spans="1:5" x14ac:dyDescent="0.25">
      <c r="A38" s="2">
        <v>45489</v>
      </c>
      <c r="B38" t="s">
        <v>3</v>
      </c>
      <c r="C38">
        <v>-4285.7142857142853</v>
      </c>
    </row>
    <row r="39" spans="1:5" x14ac:dyDescent="0.25">
      <c r="A39" s="2">
        <v>45490</v>
      </c>
      <c r="B39" t="s">
        <v>3</v>
      </c>
      <c r="C39">
        <v>-4123.7113402061859</v>
      </c>
    </row>
    <row r="40" spans="1:5" x14ac:dyDescent="0.25">
      <c r="A40" s="2">
        <v>45491</v>
      </c>
      <c r="B40" t="s">
        <v>3</v>
      </c>
      <c r="C40">
        <v>-4123.7113402061859</v>
      </c>
    </row>
    <row r="41" spans="1:5" x14ac:dyDescent="0.25">
      <c r="A41" s="2">
        <v>45492</v>
      </c>
      <c r="B41" t="s">
        <v>3</v>
      </c>
      <c r="C41">
        <v>-4152.249134948097</v>
      </c>
    </row>
    <row r="42" spans="1:5" x14ac:dyDescent="0.25">
      <c r="A42" s="2">
        <v>45504</v>
      </c>
      <c r="B42" t="s">
        <v>5</v>
      </c>
      <c r="C42">
        <v>134994</v>
      </c>
      <c r="D42">
        <f>+XIRR(C37:C42,A37:A42)</f>
        <v>-0.4476817660033704</v>
      </c>
      <c r="E42" s="5">
        <f>+(1+D42)^(1/12)-1</f>
        <v>-4.8265567593955172E-2</v>
      </c>
    </row>
    <row r="43" spans="1:5" x14ac:dyDescent="0.25">
      <c r="A43" s="2">
        <v>45505</v>
      </c>
      <c r="B43" t="s">
        <v>5</v>
      </c>
      <c r="C43">
        <v>-134995</v>
      </c>
    </row>
    <row r="44" spans="1:5" x14ac:dyDescent="0.25">
      <c r="A44" s="2">
        <v>45518</v>
      </c>
      <c r="B44" t="s">
        <v>3</v>
      </c>
      <c r="C44">
        <v>-4428.0442804428048</v>
      </c>
    </row>
    <row r="45" spans="1:5" x14ac:dyDescent="0.25">
      <c r="A45" s="2">
        <v>45520</v>
      </c>
      <c r="B45" t="s">
        <v>3</v>
      </c>
      <c r="C45">
        <v>-4460.966542750929</v>
      </c>
    </row>
    <row r="46" spans="1:5" x14ac:dyDescent="0.25">
      <c r="A46" s="2">
        <v>45523</v>
      </c>
      <c r="B46" t="s">
        <v>3</v>
      </c>
      <c r="C46">
        <v>-4444.4444444444443</v>
      </c>
    </row>
    <row r="47" spans="1:5" x14ac:dyDescent="0.25">
      <c r="A47" s="2">
        <v>45534</v>
      </c>
      <c r="B47" t="s">
        <v>5</v>
      </c>
      <c r="C47">
        <v>171836</v>
      </c>
      <c r="D47">
        <f>+XIRR(C43:C47,A43:A47)</f>
        <v>5.9615733623504648</v>
      </c>
      <c r="E47" s="5">
        <f t="shared" si="1"/>
        <v>0.1755080755787557</v>
      </c>
    </row>
    <row r="48" spans="1:5" x14ac:dyDescent="0.25">
      <c r="A48" s="2">
        <v>45536</v>
      </c>
      <c r="B48" t="s">
        <v>5</v>
      </c>
      <c r="C48">
        <v>-171837</v>
      </c>
    </row>
    <row r="49" spans="1:5" x14ac:dyDescent="0.25">
      <c r="A49" s="2">
        <v>45565</v>
      </c>
      <c r="B49" t="s">
        <v>5</v>
      </c>
      <c r="C49">
        <v>179318</v>
      </c>
      <c r="D49">
        <f>+XIRR(C48:C49,A48:A49)</f>
        <v>0.7097613930702209</v>
      </c>
      <c r="E49" s="5">
        <f t="shared" si="1"/>
        <v>4.5710074766176723E-2</v>
      </c>
    </row>
    <row r="50" spans="1:5" x14ac:dyDescent="0.25">
      <c r="A50" s="2">
        <v>45566</v>
      </c>
      <c r="B50" t="s">
        <v>5</v>
      </c>
      <c r="C50">
        <v>-179319</v>
      </c>
    </row>
    <row r="51" spans="1:5" x14ac:dyDescent="0.25">
      <c r="A51" s="2">
        <v>45575</v>
      </c>
      <c r="B51" t="s">
        <v>4</v>
      </c>
      <c r="C51">
        <v>8530</v>
      </c>
    </row>
    <row r="52" spans="1:5" x14ac:dyDescent="0.25">
      <c r="A52" s="2">
        <v>45586</v>
      </c>
      <c r="B52" t="s">
        <v>4</v>
      </c>
      <c r="C52">
        <v>3418.8034188034189</v>
      </c>
    </row>
    <row r="53" spans="1:5" x14ac:dyDescent="0.25">
      <c r="A53" s="2">
        <v>45593</v>
      </c>
      <c r="B53" t="s">
        <v>3</v>
      </c>
      <c r="C53">
        <v>-4897.9591836734689</v>
      </c>
    </row>
    <row r="54" spans="1:5" x14ac:dyDescent="0.25">
      <c r="A54" s="2">
        <v>45596</v>
      </c>
      <c r="B54" t="s">
        <v>5</v>
      </c>
      <c r="C54">
        <v>192066</v>
      </c>
      <c r="D54">
        <f>+XIRR(C50:C54,A50:A54)</f>
        <v>2.7419790029525761</v>
      </c>
      <c r="E54" s="5">
        <f t="shared" si="1"/>
        <v>0.11624222145294194</v>
      </c>
    </row>
    <row r="55" spans="1:5" x14ac:dyDescent="0.25">
      <c r="A55" s="2">
        <v>45597</v>
      </c>
      <c r="B55" t="s">
        <v>5</v>
      </c>
      <c r="C55">
        <v>-192067</v>
      </c>
    </row>
    <row r="56" spans="1:5" x14ac:dyDescent="0.25">
      <c r="A56" s="2">
        <v>45610</v>
      </c>
      <c r="B56" t="s">
        <v>3</v>
      </c>
      <c r="C56">
        <v>-5263.1578947368425</v>
      </c>
    </row>
    <row r="57" spans="1:5" x14ac:dyDescent="0.25">
      <c r="A57" s="2">
        <v>45611</v>
      </c>
      <c r="B57" t="s">
        <v>3</v>
      </c>
      <c r="C57">
        <v>-5263.1578947368425</v>
      </c>
    </row>
    <row r="58" spans="1:5" x14ac:dyDescent="0.25">
      <c r="A58" s="2">
        <v>45626</v>
      </c>
      <c r="B58" t="s">
        <v>5</v>
      </c>
      <c r="C58">
        <v>238731</v>
      </c>
      <c r="D58">
        <f>+XIRR(C55:C58,A55:A58)</f>
        <v>7.2909423351287836</v>
      </c>
      <c r="E58" s="5">
        <f t="shared" si="1"/>
        <v>0.19275246989204553</v>
      </c>
    </row>
    <row r="59" spans="1:5" x14ac:dyDescent="0.25">
      <c r="A59" s="2">
        <v>45627</v>
      </c>
      <c r="B59" t="s">
        <v>5</v>
      </c>
      <c r="C59">
        <v>-238732</v>
      </c>
    </row>
    <row r="60" spans="1:5" x14ac:dyDescent="0.25">
      <c r="A60" s="2">
        <v>45652</v>
      </c>
      <c r="B60" t="s">
        <v>4</v>
      </c>
      <c r="C60">
        <v>6841.9076923076927</v>
      </c>
    </row>
    <row r="61" spans="1:5" x14ac:dyDescent="0.25">
      <c r="A61" s="2">
        <v>45652</v>
      </c>
      <c r="B61" t="s">
        <v>4</v>
      </c>
      <c r="C61">
        <v>31657.444444444445</v>
      </c>
    </row>
    <row r="62" spans="1:5" x14ac:dyDescent="0.25">
      <c r="A62" s="2">
        <v>45656</v>
      </c>
      <c r="B62" t="s">
        <v>4</v>
      </c>
      <c r="C62">
        <v>4052.5819256756758</v>
      </c>
    </row>
    <row r="63" spans="1:5" x14ac:dyDescent="0.25">
      <c r="A63" s="2">
        <v>45656</v>
      </c>
      <c r="B63" t="s">
        <v>4</v>
      </c>
      <c r="C63">
        <v>5333.614864864865</v>
      </c>
    </row>
    <row r="64" spans="1:5" x14ac:dyDescent="0.25">
      <c r="A64" s="2">
        <f>+EOMONTH(A63,12)</f>
        <v>46022</v>
      </c>
      <c r="B64" t="s">
        <v>5</v>
      </c>
      <c r="C64">
        <v>191925.22</v>
      </c>
      <c r="D64">
        <f>+XIRR(C59:C64,A59:A64)</f>
        <v>5.1377743482589723E-3</v>
      </c>
      <c r="E64" s="5">
        <f t="shared" si="1"/>
        <v>4.2714295116064172E-4</v>
      </c>
    </row>
  </sheetData>
  <conditionalFormatting sqref="C1:C31 C34:C1048576">
    <cfRule type="cellIs" dxfId="3" priority="2" operator="greaterThan">
      <formula>0</formula>
    </cfRule>
  </conditionalFormatting>
  <conditionalFormatting sqref="C1:C1048576">
    <cfRule type="cellIs" dxfId="2" priority="1" operator="greaterThan">
      <formula>694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depositos</vt:lpstr>
      <vt:lpstr>movimientos</vt:lpstr>
      <vt:lpstr>tir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2025-10-03T17:55:18Z</dcterms:created>
  <dcterms:modified xsi:type="dcterms:W3CDTF">2026-02-02T16:07:39Z</dcterms:modified>
</cp:coreProperties>
</file>